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Сomposition" sheetId="1" state="visible" r:id="rId3"/>
    <sheet name="Components" sheetId="2" state="visible" r:id="rId4"/>
    <sheet name="Applicability of fasteners" sheetId="3" state="visible" r:id="rId5"/>
    <sheet name="General list of fasteners" sheetId="4" state="visible" r:id="rId6"/>
    <sheet name="Assembly nuanc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<sst xmlns="http://schemas.openxmlformats.org/spreadsheetml/2006/main" count="335" uniqueCount="211">
  <si>
    <t xml:space="preserve">MMP - Multipurpose mobile platform - parts and assemblies</t>
  </si>
  <si>
    <t xml:space="preserve">3D-model</t>
  </si>
  <si>
    <t xml:space="preserve">PDF</t>
  </si>
  <si>
    <t xml:space="preserve">Dxf</t>
  </si>
  <si>
    <t xml:space="preserve">STEP</t>
  </si>
  <si>
    <t xml:space="preserve">Drawing</t>
  </si>
  <si>
    <t xml:space="preserve">3D-PDF</t>
  </si>
  <si>
    <t xml:space="preserve">№</t>
  </si>
  <si>
    <t xml:space="preserve">Part number</t>
  </si>
  <si>
    <t xml:space="preserve">Description</t>
  </si>
  <si>
    <t xml:space="preserve">Q-ty for 1 platform</t>
  </si>
  <si>
    <t xml:space="preserve">Material</t>
  </si>
  <si>
    <t xml:space="preserve">Covering</t>
  </si>
  <si>
    <t xml:space="preserve">Notes</t>
  </si>
  <si>
    <t xml:space="preserve">0.0.0</t>
  </si>
  <si>
    <t xml:space="preserve">MMP.00.00.00.000</t>
  </si>
  <si>
    <t xml:space="preserve">Multipurpose mobile platform</t>
  </si>
  <si>
    <t xml:space="preserve">0.0.1</t>
  </si>
  <si>
    <t xml:space="preserve">MMP.00.00.00.001</t>
  </si>
  <si>
    <t xml:space="preserve">Front panel</t>
  </si>
  <si>
    <t xml:space="preserve">Steel EN 1.0114, s2</t>
  </si>
  <si>
    <t xml:space="preserve">RAL9016</t>
  </si>
  <si>
    <t xml:space="preserve">0.0.2</t>
  </si>
  <si>
    <t xml:space="preserve">MMP.00.00.00.002</t>
  </si>
  <si>
    <t xml:space="preserve">Back panel</t>
  </si>
  <si>
    <t xml:space="preserve">0.0.3</t>
  </si>
  <si>
    <t xml:space="preserve">MMP.00.00.00.003</t>
  </si>
  <si>
    <t xml:space="preserve">Side panel</t>
  </si>
  <si>
    <t xml:space="preserve">Steel EN 1.0114, s0,8</t>
  </si>
  <si>
    <t xml:space="preserve">0.0.4</t>
  </si>
  <si>
    <t xml:space="preserve">РТ1.00.00.032</t>
  </si>
  <si>
    <t xml:space="preserve">Camera upper body </t>
  </si>
  <si>
    <t xml:space="preserve">3d-printing</t>
  </si>
  <si>
    <t xml:space="preserve">1</t>
  </si>
  <si>
    <t xml:space="preserve">MMP.01.00.00.000</t>
  </si>
  <si>
    <t xml:space="preserve">Cover assembly</t>
  </si>
  <si>
    <t xml:space="preserve">1.1</t>
  </si>
  <si>
    <t xml:space="preserve">MMP.01.00.00.001</t>
  </si>
  <si>
    <t xml:space="preserve">Cover</t>
  </si>
  <si>
    <t xml:space="preserve">1.2</t>
  </si>
  <si>
    <t xml:space="preserve">MMP.01.00.00.002</t>
  </si>
  <si>
    <t xml:space="preserve">Cover flange</t>
  </si>
  <si>
    <t xml:space="preserve">2</t>
  </si>
  <si>
    <t xml:space="preserve">MMP.02.00.00.000</t>
  </si>
  <si>
    <t xml:space="preserve">Base assembly</t>
  </si>
  <si>
    <t xml:space="preserve">2.1</t>
  </si>
  <si>
    <t xml:space="preserve">MMP.02.00.00.001</t>
  </si>
  <si>
    <t xml:space="preserve">Base</t>
  </si>
  <si>
    <t xml:space="preserve">3</t>
  </si>
  <si>
    <t xml:space="preserve">MMP.03.00.00.000</t>
  </si>
  <si>
    <t xml:space="preserve">Wheel assembly</t>
  </si>
  <si>
    <t xml:space="preserve">3.1</t>
  </si>
  <si>
    <t xml:space="preserve">MMP.03.00.00.001</t>
  </si>
  <si>
    <t xml:space="preserve">Wheel bracket outer</t>
  </si>
  <si>
    <t xml:space="preserve">Threaded holes (М3, М4)</t>
  </si>
  <si>
    <t xml:space="preserve">3.2</t>
  </si>
  <si>
    <t xml:space="preserve">MMP.03.00.00.002</t>
  </si>
  <si>
    <t xml:space="preserve">Wheel bracket inner</t>
  </si>
  <si>
    <t xml:space="preserve">Threaded holes (М4)</t>
  </si>
  <si>
    <t xml:space="preserve">3.3</t>
  </si>
  <si>
    <t xml:space="preserve">MMP.03.00.00.003</t>
  </si>
  <si>
    <t xml:space="preserve">Motor bracket</t>
  </si>
  <si>
    <t xml:space="preserve">3.4</t>
  </si>
  <si>
    <t xml:space="preserve">MMP.03.00.00.004</t>
  </si>
  <si>
    <t xml:space="preserve">Drive shaft</t>
  </si>
  <si>
    <t xml:space="preserve">Steel 37Cr4</t>
  </si>
  <si>
    <t xml:space="preserve">3.5</t>
  </si>
  <si>
    <t xml:space="preserve">РТ1.00.00.240</t>
  </si>
  <si>
    <t xml:space="preserve">Magnetic encoder</t>
  </si>
  <si>
    <t xml:space="preserve">3.5.1</t>
  </si>
  <si>
    <t xml:space="preserve">РТ1.00.00.241</t>
  </si>
  <si>
    <t xml:space="preserve">Adapter</t>
  </si>
  <si>
    <t xml:space="preserve">3.5.2</t>
  </si>
  <si>
    <t xml:space="preserve">РТ1.00.00.242</t>
  </si>
  <si>
    <t xml:space="preserve">Bracket</t>
  </si>
  <si>
    <t xml:space="preserve">3.5.3</t>
  </si>
  <si>
    <t xml:space="preserve">РТ1.00.00.243</t>
  </si>
  <si>
    <t xml:space="preserve">4</t>
  </si>
  <si>
    <t xml:space="preserve">MMP.04.00.00.000</t>
  </si>
  <si>
    <t xml:space="preserve">Center bracket assembly</t>
  </si>
  <si>
    <t xml:space="preserve">4.1</t>
  </si>
  <si>
    <t xml:space="preserve">MMP.04.00.00.001</t>
  </si>
  <si>
    <t xml:space="preserve">Center bracket</t>
  </si>
  <si>
    <t xml:space="preserve">5</t>
  </si>
  <si>
    <t xml:space="preserve">MMP.05.00.00.000</t>
  </si>
  <si>
    <t xml:space="preserve">Support assembly</t>
  </si>
  <si>
    <t xml:space="preserve">5.1</t>
  </si>
  <si>
    <t xml:space="preserve">MMP.05.00.00.001</t>
  </si>
  <si>
    <t xml:space="preserve">Support</t>
  </si>
  <si>
    <t xml:space="preserve">Steel EN 1.0114, s1,2</t>
  </si>
  <si>
    <t xml:space="preserve">6</t>
  </si>
  <si>
    <t xml:space="preserve">MMP.05.00.00.000-01</t>
  </si>
  <si>
    <t xml:space="preserve">6.1</t>
  </si>
  <si>
    <t xml:space="preserve">MMP.05.00.00.001-01</t>
  </si>
  <si>
    <t xml:space="preserve">7</t>
  </si>
  <si>
    <t xml:space="preserve">MMP.07.00.00.000</t>
  </si>
  <si>
    <t xml:space="preserve">Lidar support assembly</t>
  </si>
  <si>
    <t xml:space="preserve">7.1</t>
  </si>
  <si>
    <t xml:space="preserve">MMP.07.00.00.001</t>
  </si>
  <si>
    <t xml:space="preserve">Lidar support</t>
  </si>
  <si>
    <t xml:space="preserve">- 3D-printed part</t>
  </si>
  <si>
    <t xml:space="preserve">Q-ty for 1 platform, pcs</t>
  </si>
  <si>
    <t xml:space="preserve">Link</t>
  </si>
  <si>
    <t xml:space="preserve">Part No.</t>
  </si>
  <si>
    <t xml:space="preserve">Additional info</t>
  </si>
  <si>
    <t xml:space="preserve">Heavy duty drive wheel</t>
  </si>
  <si>
    <t xml:space="preserve">Blickle GEVN 200/30H7</t>
  </si>
  <si>
    <t xml:space="preserve">Catalogue</t>
  </si>
  <si>
    <t xml:space="preserve">Light duty swivel castor</t>
  </si>
  <si>
    <t xml:space="preserve">Blickle LPA-VSTH 35K</t>
  </si>
  <si>
    <t xml:space="preserve">Oval flange bearing units</t>
  </si>
  <si>
    <t xml:space="preserve">REXNORD UCFL 205 C 655472 (d25)</t>
  </si>
  <si>
    <t xml:space="preserve">REXNORD UCFL 206 C 666412 (d30)</t>
  </si>
  <si>
    <t xml:space="preserve">Rivet Nut - M4</t>
  </si>
  <si>
    <t xml:space="preserve">Blind Rivet Nut - Round Thin - Stainless Steel - M4</t>
  </si>
  <si>
    <t xml:space="preserve">100 - 5802159</t>
  </si>
  <si>
    <t xml:space="preserve">Rivet Nut - M5</t>
  </si>
  <si>
    <t xml:space="preserve">Blind Rivet Nut - Round Thin - Stainless Steel - M5</t>
  </si>
  <si>
    <t xml:space="preserve">100 - 5802287</t>
  </si>
  <si>
    <t xml:space="preserve">Rivet Nut - M6</t>
  </si>
  <si>
    <t xml:space="preserve">Blind Rivet Nut - Round Thin - Stainless Steel - M6</t>
  </si>
  <si>
    <t xml:space="preserve">100 - 5802253</t>
  </si>
  <si>
    <t xml:space="preserve">Rivet Nut - M8</t>
  </si>
  <si>
    <t xml:space="preserve">Blind Rivet Nut - Round Thin - Stainless Steel - M8</t>
  </si>
  <si>
    <t xml:space="preserve">100 - 5802182</t>
  </si>
  <si>
    <t xml:space="preserve">Feather key</t>
  </si>
  <si>
    <t xml:space="preserve">Feather key 4x4x25 DIN 6885-UNI 6604 (former ISO 773)</t>
  </si>
  <si>
    <t xml:space="preserve">Feather key 8x7x28 DIN 6885-UNI 6604 (former ISO 773)</t>
  </si>
  <si>
    <t xml:space="preserve">Screwed spacer sleeve</t>
  </si>
  <si>
    <t xml:space="preserve">TFF-M3/25 FIX&amp;FASTEN</t>
  </si>
  <si>
    <t xml:space="preserve">BLDC motor</t>
  </si>
  <si>
    <t xml:space="preserve">Z4BLD60-24GN-30S/4GN 25K </t>
  </si>
  <si>
    <t xml:space="preserve">Laser Range Scanner</t>
  </si>
  <si>
    <t xml:space="preserve">RPLIDAR A1-A1M8</t>
  </si>
  <si>
    <t xml:space="preserve">Camera</t>
  </si>
  <si>
    <t xml:space="preserve">Camera Module NVision Assem</t>
  </si>
  <si>
    <t xml:space="preserve">Proximity Sensor</t>
  </si>
  <si>
    <t xml:space="preserve">E18-D80NK</t>
  </si>
  <si>
    <t xml:space="preserve">US Sensor</t>
  </si>
  <si>
    <t xml:space="preserve">JSN-SR04T</t>
  </si>
  <si>
    <t xml:space="preserve">LED module</t>
  </si>
  <si>
    <t xml:space="preserve">3 LED RGB Module 0.72W SWP</t>
  </si>
  <si>
    <t xml:space="preserve">MMP - Applicability of fasteners</t>
  </si>
  <si>
    <t xml:space="preserve">Q-ty, pcs</t>
  </si>
  <si>
    <t xml:space="preserve">3D PDF</t>
  </si>
  <si>
    <t xml:space="preserve">Blind rivet Al/St 4,0х8, DIN 7337</t>
  </si>
  <si>
    <t xml:space="preserve">Screw М4x16 DIN 912</t>
  </si>
  <si>
    <t xml:space="preserve">Screw М5x20 DIN 912</t>
  </si>
  <si>
    <t xml:space="preserve">Screw М5x70 DIN 912</t>
  </si>
  <si>
    <t xml:space="preserve">Screw М6x20 DIN 912</t>
  </si>
  <si>
    <t xml:space="preserve">Screw М10x45 DIN 912</t>
  </si>
  <si>
    <t xml:space="preserve">Screw М3x12 DIN 965</t>
  </si>
  <si>
    <t xml:space="preserve">Screw М3x8 DIN 966</t>
  </si>
  <si>
    <t xml:space="preserve">Screw М3x12 DIN 967</t>
  </si>
  <si>
    <t xml:space="preserve">Screw М4x12 DIN 967</t>
  </si>
  <si>
    <t xml:space="preserve">Screw М4x16 DIN 967</t>
  </si>
  <si>
    <t xml:space="preserve">Screw М8x25 DIN 967</t>
  </si>
  <si>
    <t xml:space="preserve">Screw М2x8 DIN 7985</t>
  </si>
  <si>
    <t xml:space="preserve">Screw М2x16 DIN 7985</t>
  </si>
  <si>
    <t xml:space="preserve">Screw М2,5x6 DIN 7985</t>
  </si>
  <si>
    <t xml:space="preserve">Screw М3x8 DIN 7985</t>
  </si>
  <si>
    <t xml:space="preserve">Screw М4x16 DIN 7985</t>
  </si>
  <si>
    <t xml:space="preserve">Nut M2 DIN 934</t>
  </si>
  <si>
    <t xml:space="preserve">Nut M3 DIN 934</t>
  </si>
  <si>
    <t xml:space="preserve">Nut M10 DIN 934</t>
  </si>
  <si>
    <t xml:space="preserve">Washer 2 DIN 125</t>
  </si>
  <si>
    <t xml:space="preserve">Washer 2,5 DIN 125</t>
  </si>
  <si>
    <t xml:space="preserve">Washer 3 DIN 125</t>
  </si>
  <si>
    <t xml:space="preserve">Washer 4 DIN 125</t>
  </si>
  <si>
    <t xml:space="preserve">Washer 5 DIN 125</t>
  </si>
  <si>
    <t xml:space="preserve">Washer 6 DIN 125</t>
  </si>
  <si>
    <t xml:space="preserve">Washer 8 DIN 125</t>
  </si>
  <si>
    <t xml:space="preserve">Washer 10 DIN 125</t>
  </si>
  <si>
    <t xml:space="preserve">Spring lock washer 2 DIN 7980</t>
  </si>
  <si>
    <t xml:space="preserve">Spring lock washer 2,5 DIN 7980</t>
  </si>
  <si>
    <t xml:space="preserve">Spring lock washer 3 DIN 7980</t>
  </si>
  <si>
    <t xml:space="preserve">Spring lock washer 4 DIN 7980</t>
  </si>
  <si>
    <t xml:space="preserve">Spring lock washer 5 DIN 7980</t>
  </si>
  <si>
    <t xml:space="preserve">Spring lock washer 6 DIN 7980</t>
  </si>
  <si>
    <t xml:space="preserve">Spring lock washer 10 DIN 7980</t>
  </si>
  <si>
    <t xml:space="preserve">Large size washer 4 DIN 9021</t>
  </si>
  <si>
    <t xml:space="preserve">Screwed spacer sleeve TFF-M3/25</t>
  </si>
  <si>
    <t xml:space="preserve">Main assembly</t>
  </si>
  <si>
    <t xml:space="preserve">Camera to Front panel</t>
  </si>
  <si>
    <t xml:space="preserve">Cover to Center bracket</t>
  </si>
  <si>
    <t xml:space="preserve">1.3</t>
  </si>
  <si>
    <t xml:space="preserve">Lidar to support assembly</t>
  </si>
  <si>
    <t xml:space="preserve">1.4</t>
  </si>
  <si>
    <t xml:space="preserve">Lidar support assembly to base</t>
  </si>
  <si>
    <t xml:space="preserve">1.5</t>
  </si>
  <si>
    <t xml:space="preserve">Center bracket to base</t>
  </si>
  <si>
    <t xml:space="preserve">1.6</t>
  </si>
  <si>
    <t xml:space="preserve">Side panels</t>
  </si>
  <si>
    <t xml:space="preserve">1.7</t>
  </si>
  <si>
    <t xml:space="preserve">Front panel - up</t>
  </si>
  <si>
    <t xml:space="preserve">1.8</t>
  </si>
  <si>
    <t xml:space="preserve">Front panel - down</t>
  </si>
  <si>
    <t xml:space="preserve">1.9</t>
  </si>
  <si>
    <t xml:space="preserve">Support assemblies to base</t>
  </si>
  <si>
    <t xml:space="preserve">1.10</t>
  </si>
  <si>
    <t xml:space="preserve">Light duty swivel castors to base</t>
  </si>
  <si>
    <t xml:space="preserve">1.11</t>
  </si>
  <si>
    <t xml:space="preserve">Wheel assemblies to base</t>
  </si>
  <si>
    <t xml:space="preserve">8</t>
  </si>
  <si>
    <t xml:space="preserve">9</t>
  </si>
  <si>
    <t xml:space="preserve">Total:</t>
  </si>
  <si>
    <t xml:space="preserve">Sheet metal parts vary by production. Currently, the parts are designed for the following coefficients and radii: 
K=0.47: 
sheet 0.8 mm - R=1.2; 
sheet 1.2 mm - R=1.5; 
sheet 2.0 mm - R=2.4.</t>
  </si>
  <si>
    <t xml:space="preserve">After bending, parts could be painted.</t>
  </si>
  <si>
    <t xml:space="preserve">After painting, we install riveting nuts. It is allowed to install riveting nuts before painting, provided that the threaded part of the nuts is protected from coating.</t>
  </si>
  <si>
    <t xml:space="preserve">Screws installed without lock washers - fix with a thread lock (eg Loxeal 55-03).</t>
  </si>
  <si>
    <t xml:space="preserve">There may be nuances with block bearings. All details are strongly interconnected and depend on each other.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</si>
</sst>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4"/>
      <color theme="1"/>
      <name val="Arial"/>
      <family val="0"/>
      <charset val="1"/>
    </font>
    <font>
      <sz val="18"/>
      <color rgb="FF0000FF"/>
      <name val="Arial"/>
      <family val="0"/>
      <charset val="1"/>
    </font>
    <font>
      <sz val="14"/>
      <color rgb="FF000000"/>
      <name val="Arial"/>
      <family val="0"/>
      <charset val="1"/>
    </font>
    <font>
      <sz val="14"/>
      <color rgb="FFFF0000"/>
      <name val="Arial"/>
      <family val="0"/>
      <charset val="1"/>
    </font>
    <font>
      <sz val="12"/>
      <color theme="1"/>
      <name val="Arial"/>
      <family val="0"/>
      <charset val="1"/>
    </font>
    <font>
      <u val="single"/>
      <sz val="14"/>
      <color rgb="FF0000FF"/>
      <name val="Cambria"/>
      <family val="0"/>
      <charset val="1"/>
    </font>
    <font>
      <sz val="14"/>
      <color theme="1"/>
      <name val="Arial"/>
      <family val="2"/>
      <charset val="1"/>
    </font>
    <font>
      <sz val="10"/>
      <color theme="1"/>
      <name val="Arial"/>
      <family val="0"/>
      <charset val="1"/>
    </font>
    <font>
      <sz val="12"/>
      <color rgb="FF000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F2F2F2"/>
      </patternFill>
    </fill>
    <fill>
      <patternFill patternType="solid">
        <fgColor rgb="FFF2F2F2"/>
        <bgColor rgb="FFF3F3F3"/>
      </patternFill>
    </fill>
    <fill>
      <patternFill patternType="solid">
        <fgColor rgb="FFCCCCCC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D9D9D9"/>
      </patternFill>
    </fill>
    <fill>
      <patternFill patternType="solid">
        <fgColor rgb="FFF3F3F3"/>
        <bgColor rgb="FFF2F2F2"/>
      </patternFill>
    </fill>
    <fill>
      <patternFill patternType="solid">
        <fgColor rgb="FFD9D9D9"/>
        <bgColor rgb="FFCFE2F3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5" fontId="7" fillId="3" borderId="2" xfId="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4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FEFE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2:C44" headerRowCount="0" totalsRowCount="0" totalsRowShown="0">
  <tableColumns count="3">
    <tableColumn id="1" name="Column1"/>
    <tableColumn id="2" name="Column2"/>
    <tableColumn id="3" name="Column3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blickle.com/product/GEVN-200-30H7-754372" TargetMode="External"/><Relationship Id="rId2" Type="http://schemas.openxmlformats.org/officeDocument/2006/relationships/hyperlink" Target="https://www.blickle.com/products/wheel-castor-series/drive-wheels-hub-fitting-wheels-ground-wheels/drive-wheels" TargetMode="External"/><Relationship Id="rId3" Type="http://schemas.openxmlformats.org/officeDocument/2006/relationships/hyperlink" Target="https://www.blickle.com/product/LPA-VSTH-35K-603175" TargetMode="External"/><Relationship Id="rId4" Type="http://schemas.openxmlformats.org/officeDocument/2006/relationships/hyperlink" Target="http://www.intergear.eu/produkty/dopravniky/rexnord/10Oval-flang-bearing.pdf" TargetMode="External"/><Relationship Id="rId5" Type="http://schemas.openxmlformats.org/officeDocument/2006/relationships/hyperlink" Target="http://www.intergear.eu/produkty/dopravniky/rexnord/10Oval-flang-bearing.pdf" TargetMode="External"/><Relationship Id="rId6" Type="http://schemas.openxmlformats.org/officeDocument/2006/relationships/hyperlink" Target="https://www.insertsdirect.com/product/blind-rivet-nut-round-thin-stainless-steel-m4-48" TargetMode="External"/><Relationship Id="rId7" Type="http://schemas.openxmlformats.org/officeDocument/2006/relationships/hyperlink" Target="https://www.insertsdirect.com/product/blind-rivet-nut-round-thin-stainless-steel-m5-49" TargetMode="External"/><Relationship Id="rId8" Type="http://schemas.openxmlformats.org/officeDocument/2006/relationships/hyperlink" Target="https://www.insertsdirect.com/product/blind-rivet-nut-round-thin-stainless-steel-m6-50" TargetMode="External"/><Relationship Id="rId9" Type="http://schemas.openxmlformats.org/officeDocument/2006/relationships/hyperlink" Target="https://www.insertsdirect.com/product/blind-rivet-nut-round-thin-stainless-steel-m8-51" TargetMode="External"/><Relationship Id="rId10" Type="http://schemas.openxmlformats.org/officeDocument/2006/relationships/hyperlink" Target="http://opis.cz/chiavette/pdf/DIN6885.pdf" TargetMode="External"/><Relationship Id="rId11" Type="http://schemas.openxmlformats.org/officeDocument/2006/relationships/hyperlink" Target="https://www.tme.eu/gb/details/tff-m3_25/metal-spacers/fix-fasten/" TargetMode="External"/><Relationship Id="rId12" Type="http://schemas.openxmlformats.org/officeDocument/2006/relationships/hyperlink" Target="https://www.slamtec.com/en/Lidar/A1" TargetMode="External"/><Relationship Id="rId13" Type="http://schemas.openxmlformats.org/officeDocument/2006/relationships/hyperlink" Target="https://datasheetspdf.com/pdf/1311840/tinkbox/E18-D80NK/1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tru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1" activePane="bottomLeft" state="frozen"/>
      <selection pane="topLeft" activeCell="A1" activeCellId="0" sqref="A1"/>
      <selection pane="bottomLeft" activeCell="B4" activeCellId="0" sqref="B4"/>
    </sheetView>
  </sheetViews>
  <sheetFormatPr defaultColWidth="12.6328125" defaultRowHeight="15" customHeight="true" zeroHeight="false" outlineLevelRow="0" outlineLevelCol="0"/>
  <cols>
    <col collapsed="false" customWidth="true" hidden="false" outlineLevel="0" max="6" min="1" style="0" width="3.75"/>
    <col collapsed="false" customWidth="true" hidden="false" outlineLevel="0" max="7" min="7" style="0" width="6.25"/>
    <col collapsed="false" customWidth="true" hidden="false" outlineLevel="0" max="8" min="8" style="0" width="4.13"/>
    <col collapsed="false" customWidth="true" hidden="false" outlineLevel="0" max="9" min="9" style="0" width="4.63"/>
    <col collapsed="false" customWidth="true" hidden="false" outlineLevel="0" max="10" min="10" style="0" width="20"/>
    <col collapsed="false" customWidth="true" hidden="false" outlineLevel="0" max="11" min="11" style="0" width="31"/>
    <col collapsed="false" customWidth="true" hidden="false" outlineLevel="0" max="12" min="12" style="0" width="10.75"/>
    <col collapsed="false" customWidth="true" hidden="false" outlineLevel="0" max="13" min="13" style="0" width="25.25"/>
    <col collapsed="false" customWidth="true" hidden="false" outlineLevel="0" max="14" min="14" style="0" width="12.38"/>
    <col collapsed="false" customWidth="true" hidden="false" outlineLevel="0" max="15" min="15" style="0" width="27.13"/>
  </cols>
  <sheetData>
    <row r="1" customFormat="false" ht="18" hidden="false" customHeight="true" outlineLevel="0" collapsed="false">
      <c r="A1" s="1"/>
      <c r="B1" s="1"/>
      <c r="C1" s="2"/>
      <c r="D1" s="3"/>
      <c r="E1" s="3"/>
      <c r="F1" s="3"/>
      <c r="G1" s="4"/>
      <c r="H1" s="3"/>
      <c r="I1" s="3"/>
      <c r="J1" s="5" t="s">
        <v>0</v>
      </c>
      <c r="K1" s="5"/>
      <c r="L1" s="5"/>
      <c r="M1" s="5"/>
      <c r="N1" s="3"/>
      <c r="O1" s="3"/>
    </row>
    <row r="2" customFormat="false" ht="15.75" hidden="false" customHeight="true" outlineLevel="0" collapsed="false">
      <c r="A2" s="6" t="s">
        <v>1</v>
      </c>
      <c r="B2" s="6" t="s">
        <v>2</v>
      </c>
      <c r="C2" s="7" t="s">
        <v>3</v>
      </c>
      <c r="D2" s="8" t="s">
        <v>4</v>
      </c>
      <c r="E2" s="8" t="s">
        <v>5</v>
      </c>
      <c r="F2" s="8" t="s">
        <v>6</v>
      </c>
      <c r="G2" s="9" t="s">
        <v>7</v>
      </c>
      <c r="H2" s="10" t="s">
        <v>8</v>
      </c>
      <c r="I2" s="10"/>
      <c r="J2" s="10"/>
      <c r="K2" s="11" t="s">
        <v>9</v>
      </c>
      <c r="L2" s="12" t="s">
        <v>10</v>
      </c>
      <c r="M2" s="13" t="s">
        <v>11</v>
      </c>
      <c r="N2" s="13" t="s">
        <v>12</v>
      </c>
      <c r="O2" s="13" t="s">
        <v>13</v>
      </c>
    </row>
    <row r="3" customFormat="false" ht="21" hidden="false" customHeight="true" outlineLevel="0" collapsed="false">
      <c r="A3" s="14" t="b">
        <f aca="false">TRUE()</f>
        <v>1</v>
      </c>
      <c r="B3" s="15" t="b">
        <f aca="false">FALSE()</f>
        <v>0</v>
      </c>
      <c r="C3" s="16" t="b">
        <f aca="false">FALSE()</f>
        <v>0</v>
      </c>
      <c r="D3" s="16" t="b">
        <f aca="false">TRUE()</f>
        <v>1</v>
      </c>
      <c r="E3" s="16" t="b">
        <f aca="false">FALSE()</f>
        <v>0</v>
      </c>
      <c r="F3" s="16" t="b">
        <f aca="false">FALSE()</f>
        <v>0</v>
      </c>
      <c r="G3" s="17" t="s">
        <v>14</v>
      </c>
      <c r="H3" s="18" t="s">
        <v>15</v>
      </c>
      <c r="I3" s="18"/>
      <c r="J3" s="18"/>
      <c r="K3" s="19" t="s">
        <v>16</v>
      </c>
      <c r="L3" s="20" t="n">
        <v>1</v>
      </c>
      <c r="M3" s="20"/>
      <c r="N3" s="21"/>
      <c r="O3" s="22"/>
    </row>
    <row r="4" customFormat="false" ht="21" hidden="false" customHeight="true" outlineLevel="0" collapsed="false">
      <c r="A4" s="14" t="b">
        <f aca="false">TRUE()</f>
        <v>1</v>
      </c>
      <c r="B4" s="15" t="b">
        <f aca="false">TRUE()</f>
        <v>1</v>
      </c>
      <c r="C4" s="16" t="b">
        <f aca="false">TRUE()</f>
        <v>1</v>
      </c>
      <c r="D4" s="16" t="b">
        <f aca="false">TRUE()</f>
        <v>1</v>
      </c>
      <c r="E4" s="16" t="b">
        <f aca="false">TRUE()</f>
        <v>1</v>
      </c>
      <c r="F4" s="16" t="b">
        <f aca="false">FALSE()</f>
        <v>0</v>
      </c>
      <c r="G4" s="17" t="s">
        <v>17</v>
      </c>
      <c r="H4" s="18" t="s">
        <v>18</v>
      </c>
      <c r="I4" s="18"/>
      <c r="J4" s="18"/>
      <c r="K4" s="19" t="s">
        <v>19</v>
      </c>
      <c r="L4" s="20" t="n">
        <v>1</v>
      </c>
      <c r="M4" s="20" t="s">
        <v>20</v>
      </c>
      <c r="N4" s="21" t="s">
        <v>21</v>
      </c>
      <c r="O4" s="23"/>
    </row>
    <row r="5" customFormat="false" ht="21" hidden="false" customHeight="true" outlineLevel="0" collapsed="false">
      <c r="A5" s="14" t="b">
        <f aca="false">TRUE()</f>
        <v>1</v>
      </c>
      <c r="B5" s="15" t="b">
        <f aca="false">TRUE()</f>
        <v>1</v>
      </c>
      <c r="C5" s="16" t="b">
        <f aca="false">TRUE()</f>
        <v>1</v>
      </c>
      <c r="D5" s="16" t="b">
        <f aca="false">TRUE()</f>
        <v>1</v>
      </c>
      <c r="E5" s="16" t="b">
        <f aca="false">TRUE()</f>
        <v>1</v>
      </c>
      <c r="F5" s="16" t="b">
        <f aca="false">FALSE()</f>
        <v>0</v>
      </c>
      <c r="G5" s="17" t="s">
        <v>22</v>
      </c>
      <c r="H5" s="18" t="s">
        <v>23</v>
      </c>
      <c r="I5" s="18"/>
      <c r="J5" s="18"/>
      <c r="K5" s="19" t="s">
        <v>24</v>
      </c>
      <c r="L5" s="20" t="n">
        <v>1</v>
      </c>
      <c r="M5" s="20" t="s">
        <v>20</v>
      </c>
      <c r="N5" s="21" t="s">
        <v>21</v>
      </c>
      <c r="O5" s="23"/>
    </row>
    <row r="6" customFormat="false" ht="21" hidden="false" customHeight="true" outlineLevel="0" collapsed="false">
      <c r="A6" s="14" t="b">
        <f aca="false">TRUE()</f>
        <v>1</v>
      </c>
      <c r="B6" s="15" t="b">
        <f aca="false">TRUE()</f>
        <v>1</v>
      </c>
      <c r="C6" s="16" t="b">
        <f aca="false">TRUE()</f>
        <v>1</v>
      </c>
      <c r="D6" s="16" t="b">
        <f aca="false">TRUE()</f>
        <v>1</v>
      </c>
      <c r="E6" s="16" t="b">
        <f aca="false">TRUE()</f>
        <v>1</v>
      </c>
      <c r="F6" s="16" t="b">
        <f aca="false">FALSE()</f>
        <v>0</v>
      </c>
      <c r="G6" s="17" t="s">
        <v>25</v>
      </c>
      <c r="H6" s="18" t="s">
        <v>26</v>
      </c>
      <c r="I6" s="18"/>
      <c r="J6" s="18"/>
      <c r="K6" s="19" t="s">
        <v>27</v>
      </c>
      <c r="L6" s="20" t="n">
        <v>2</v>
      </c>
      <c r="M6" s="20" t="s">
        <v>28</v>
      </c>
      <c r="N6" s="21" t="s">
        <v>21</v>
      </c>
      <c r="O6" s="23"/>
    </row>
    <row r="7" customFormat="false" ht="21" hidden="false" customHeight="true" outlineLevel="0" collapsed="false">
      <c r="A7" s="14" t="b">
        <f aca="false">TRUE()</f>
        <v>1</v>
      </c>
      <c r="B7" s="15" t="b">
        <f aca="false">FALSE()</f>
        <v>0</v>
      </c>
      <c r="C7" s="16" t="b">
        <f aca="false">FALSE()</f>
        <v>0</v>
      </c>
      <c r="D7" s="16" t="b">
        <f aca="false">TRUE()</f>
        <v>1</v>
      </c>
      <c r="E7" s="16" t="b">
        <f aca="false">FALSE()</f>
        <v>0</v>
      </c>
      <c r="F7" s="16" t="b">
        <f aca="false">FALSE()</f>
        <v>0</v>
      </c>
      <c r="G7" s="24" t="s">
        <v>29</v>
      </c>
      <c r="H7" s="18" t="s">
        <v>30</v>
      </c>
      <c r="I7" s="18"/>
      <c r="J7" s="18"/>
      <c r="K7" s="19" t="s">
        <v>31</v>
      </c>
      <c r="L7" s="20" t="n">
        <v>1</v>
      </c>
      <c r="M7" s="20"/>
      <c r="N7" s="21"/>
      <c r="O7" s="25" t="s">
        <v>32</v>
      </c>
    </row>
    <row r="8" customFormat="false" ht="15.75" hidden="false" customHeight="true" outlineLevel="0" collapsed="false">
      <c r="A8" s="14" t="b">
        <f aca="false">TRUE()</f>
        <v>1</v>
      </c>
      <c r="B8" s="15" t="b">
        <f aca="false">FALSE()</f>
        <v>0</v>
      </c>
      <c r="C8" s="26" t="n">
        <f aca="false">FALSE()</f>
        <v>0</v>
      </c>
      <c r="D8" s="16" t="b">
        <f aca="false">TRUE()</f>
        <v>1</v>
      </c>
      <c r="E8" s="16" t="b">
        <f aca="false">FALSE()</f>
        <v>0</v>
      </c>
      <c r="F8" s="16" t="b">
        <f aca="false">TRUE()</f>
        <v>1</v>
      </c>
      <c r="G8" s="27" t="s">
        <v>33</v>
      </c>
      <c r="H8" s="28" t="s">
        <v>34</v>
      </c>
      <c r="I8" s="28"/>
      <c r="J8" s="28"/>
      <c r="K8" s="29" t="s">
        <v>35</v>
      </c>
      <c r="L8" s="30" t="n">
        <v>1</v>
      </c>
      <c r="M8" s="30"/>
      <c r="N8" s="31"/>
      <c r="O8" s="32"/>
    </row>
    <row r="9" customFormat="false" ht="21" hidden="false" customHeight="true" outlineLevel="0" collapsed="false">
      <c r="A9" s="14" t="b">
        <f aca="false">TRUE()</f>
        <v>1</v>
      </c>
      <c r="B9" s="15" t="b">
        <f aca="false">TRUE()</f>
        <v>1</v>
      </c>
      <c r="C9" s="16" t="b">
        <f aca="false">TRUE()</f>
        <v>1</v>
      </c>
      <c r="D9" s="16" t="b">
        <f aca="false">TRUE()</f>
        <v>1</v>
      </c>
      <c r="E9" s="16" t="b">
        <f aca="false">TRUE()</f>
        <v>1</v>
      </c>
      <c r="F9" s="16" t="b">
        <f aca="false">FALSE()</f>
        <v>0</v>
      </c>
      <c r="G9" s="17" t="s">
        <v>36</v>
      </c>
      <c r="H9" s="33"/>
      <c r="I9" s="18" t="s">
        <v>37</v>
      </c>
      <c r="J9" s="18"/>
      <c r="K9" s="19" t="s">
        <v>38</v>
      </c>
      <c r="L9" s="20" t="n">
        <v>1</v>
      </c>
      <c r="M9" s="20" t="s">
        <v>28</v>
      </c>
      <c r="N9" s="21" t="s">
        <v>21</v>
      </c>
      <c r="O9" s="23"/>
    </row>
    <row r="10" customFormat="false" ht="21" hidden="false" customHeight="true" outlineLevel="0" collapsed="false">
      <c r="A10" s="14" t="b">
        <f aca="false">TRUE()</f>
        <v>1</v>
      </c>
      <c r="B10" s="15" t="b">
        <f aca="false">TRUE()</f>
        <v>1</v>
      </c>
      <c r="C10" s="16" t="b">
        <f aca="false">TRUE()</f>
        <v>1</v>
      </c>
      <c r="D10" s="16" t="b">
        <f aca="false">TRUE()</f>
        <v>1</v>
      </c>
      <c r="E10" s="16" t="b">
        <f aca="false">TRUE()</f>
        <v>1</v>
      </c>
      <c r="F10" s="16" t="b">
        <f aca="false">FALSE()</f>
        <v>0</v>
      </c>
      <c r="G10" s="17" t="s">
        <v>39</v>
      </c>
      <c r="H10" s="33"/>
      <c r="I10" s="18" t="s">
        <v>40</v>
      </c>
      <c r="J10" s="18"/>
      <c r="K10" s="19" t="s">
        <v>41</v>
      </c>
      <c r="L10" s="20" t="n">
        <v>2</v>
      </c>
      <c r="M10" s="20" t="s">
        <v>28</v>
      </c>
      <c r="N10" s="21" t="s">
        <v>21</v>
      </c>
      <c r="O10" s="23"/>
    </row>
    <row r="11" customFormat="false" ht="21" hidden="false" customHeight="true" outlineLevel="0" collapsed="false">
      <c r="A11" s="14" t="b">
        <f aca="false">TRUE()</f>
        <v>1</v>
      </c>
      <c r="B11" s="15" t="b">
        <f aca="false">FALSE()</f>
        <v>0</v>
      </c>
      <c r="C11" s="26" t="n">
        <f aca="false">FALSE()</f>
        <v>0</v>
      </c>
      <c r="D11" s="16" t="b">
        <f aca="false">TRUE()</f>
        <v>1</v>
      </c>
      <c r="E11" s="16" t="b">
        <f aca="false">FALSE()</f>
        <v>0</v>
      </c>
      <c r="F11" s="16" t="b">
        <f aca="false">TRUE()</f>
        <v>1</v>
      </c>
      <c r="G11" s="27" t="s">
        <v>42</v>
      </c>
      <c r="H11" s="28" t="s">
        <v>43</v>
      </c>
      <c r="I11" s="28"/>
      <c r="J11" s="28"/>
      <c r="K11" s="34" t="s">
        <v>44</v>
      </c>
      <c r="L11" s="35" t="n">
        <v>1</v>
      </c>
      <c r="M11" s="30"/>
      <c r="N11" s="36"/>
      <c r="O11" s="37"/>
    </row>
    <row r="12" customFormat="false" ht="21" hidden="false" customHeight="true" outlineLevel="0" collapsed="false">
      <c r="A12" s="14" t="b">
        <f aca="false">TRUE()</f>
        <v>1</v>
      </c>
      <c r="B12" s="15" t="b">
        <f aca="false">TRUE()</f>
        <v>1</v>
      </c>
      <c r="C12" s="16" t="b">
        <f aca="false">TRUE()</f>
        <v>1</v>
      </c>
      <c r="D12" s="16" t="b">
        <f aca="false">TRUE()</f>
        <v>1</v>
      </c>
      <c r="E12" s="16" t="b">
        <f aca="false">TRUE()</f>
        <v>1</v>
      </c>
      <c r="F12" s="16" t="b">
        <f aca="false">FALSE()</f>
        <v>0</v>
      </c>
      <c r="G12" s="17" t="s">
        <v>45</v>
      </c>
      <c r="H12" s="33"/>
      <c r="I12" s="18" t="s">
        <v>46</v>
      </c>
      <c r="J12" s="18"/>
      <c r="K12" s="19" t="s">
        <v>47</v>
      </c>
      <c r="L12" s="35"/>
      <c r="M12" s="20" t="s">
        <v>20</v>
      </c>
      <c r="N12" s="21" t="s">
        <v>21</v>
      </c>
      <c r="O12" s="23"/>
    </row>
    <row r="13" customFormat="false" ht="21" hidden="false" customHeight="true" outlineLevel="0" collapsed="false">
      <c r="A13" s="14" t="b">
        <f aca="false">TRUE()</f>
        <v>1</v>
      </c>
      <c r="B13" s="15" t="b">
        <f aca="false">FALSE()</f>
        <v>0</v>
      </c>
      <c r="C13" s="16" t="b">
        <f aca="false">FALSE()</f>
        <v>0</v>
      </c>
      <c r="D13" s="16" t="b">
        <f aca="false">TRUE()</f>
        <v>1</v>
      </c>
      <c r="E13" s="16" t="b">
        <f aca="false">FALSE()</f>
        <v>0</v>
      </c>
      <c r="F13" s="16" t="b">
        <f aca="false">TRUE()</f>
        <v>1</v>
      </c>
      <c r="G13" s="27" t="s">
        <v>48</v>
      </c>
      <c r="H13" s="28" t="s">
        <v>49</v>
      </c>
      <c r="I13" s="28"/>
      <c r="J13" s="28"/>
      <c r="K13" s="34" t="s">
        <v>50</v>
      </c>
      <c r="L13" s="30" t="n">
        <v>2</v>
      </c>
      <c r="M13" s="30"/>
      <c r="N13" s="36"/>
      <c r="O13" s="37"/>
    </row>
    <row r="14" customFormat="false" ht="21" hidden="false" customHeight="true" outlineLevel="0" collapsed="false">
      <c r="A14" s="14" t="b">
        <f aca="false">TRUE()</f>
        <v>1</v>
      </c>
      <c r="B14" s="15" t="b">
        <f aca="false">TRUE()</f>
        <v>1</v>
      </c>
      <c r="C14" s="16" t="b">
        <f aca="false">TRUE()</f>
        <v>1</v>
      </c>
      <c r="D14" s="16" t="b">
        <f aca="false">TRUE()</f>
        <v>1</v>
      </c>
      <c r="E14" s="16" t="b">
        <f aca="false">TRUE()</f>
        <v>1</v>
      </c>
      <c r="F14" s="16" t="b">
        <f aca="false">FALSE()</f>
        <v>0</v>
      </c>
      <c r="G14" s="17" t="s">
        <v>51</v>
      </c>
      <c r="H14" s="33"/>
      <c r="I14" s="18" t="s">
        <v>52</v>
      </c>
      <c r="J14" s="18"/>
      <c r="K14" s="19" t="s">
        <v>53</v>
      </c>
      <c r="L14" s="20" t="n">
        <v>2</v>
      </c>
      <c r="M14" s="20" t="s">
        <v>20</v>
      </c>
      <c r="N14" s="21" t="s">
        <v>21</v>
      </c>
      <c r="O14" s="23" t="s">
        <v>54</v>
      </c>
    </row>
    <row r="15" customFormat="false" ht="21" hidden="false" customHeight="true" outlineLevel="0" collapsed="false">
      <c r="A15" s="14" t="b">
        <f aca="false">TRUE()</f>
        <v>1</v>
      </c>
      <c r="B15" s="15" t="b">
        <f aca="false">TRUE()</f>
        <v>1</v>
      </c>
      <c r="C15" s="16" t="b">
        <f aca="false">TRUE()</f>
        <v>1</v>
      </c>
      <c r="D15" s="16" t="b">
        <f aca="false">TRUE()</f>
        <v>1</v>
      </c>
      <c r="E15" s="16" t="b">
        <f aca="false">TRUE()</f>
        <v>1</v>
      </c>
      <c r="F15" s="16" t="b">
        <f aca="false">FALSE()</f>
        <v>0</v>
      </c>
      <c r="G15" s="17" t="s">
        <v>55</v>
      </c>
      <c r="H15" s="33"/>
      <c r="I15" s="18" t="s">
        <v>56</v>
      </c>
      <c r="J15" s="18"/>
      <c r="K15" s="19" t="s">
        <v>57</v>
      </c>
      <c r="L15" s="20" t="n">
        <v>2</v>
      </c>
      <c r="M15" s="20" t="s">
        <v>20</v>
      </c>
      <c r="N15" s="21" t="s">
        <v>21</v>
      </c>
      <c r="O15" s="23" t="s">
        <v>58</v>
      </c>
    </row>
    <row r="16" customFormat="false" ht="21" hidden="false" customHeight="true" outlineLevel="0" collapsed="false">
      <c r="A16" s="14" t="b">
        <f aca="false">TRUE()</f>
        <v>1</v>
      </c>
      <c r="B16" s="15" t="b">
        <f aca="false">TRUE()</f>
        <v>1</v>
      </c>
      <c r="C16" s="16" t="b">
        <f aca="false">TRUE()</f>
        <v>1</v>
      </c>
      <c r="D16" s="16" t="b">
        <f aca="false">TRUE()</f>
        <v>1</v>
      </c>
      <c r="E16" s="16" t="b">
        <f aca="false">TRUE()</f>
        <v>1</v>
      </c>
      <c r="F16" s="16" t="b">
        <f aca="false">FALSE()</f>
        <v>0</v>
      </c>
      <c r="G16" s="17" t="s">
        <v>59</v>
      </c>
      <c r="H16" s="33"/>
      <c r="I16" s="18" t="s">
        <v>60</v>
      </c>
      <c r="J16" s="18"/>
      <c r="K16" s="19" t="s">
        <v>61</v>
      </c>
      <c r="L16" s="20" t="n">
        <v>2</v>
      </c>
      <c r="M16" s="20" t="s">
        <v>20</v>
      </c>
      <c r="N16" s="21" t="s">
        <v>21</v>
      </c>
      <c r="O16" s="23"/>
    </row>
    <row r="17" customFormat="false" ht="21" hidden="false" customHeight="true" outlineLevel="0" collapsed="false">
      <c r="A17" s="14" t="b">
        <f aca="false">TRUE()</f>
        <v>1</v>
      </c>
      <c r="B17" s="15" t="b">
        <f aca="false">TRUE()</f>
        <v>1</v>
      </c>
      <c r="C17" s="16" t="b">
        <f aca="false">FALSE()</f>
        <v>0</v>
      </c>
      <c r="D17" s="16" t="b">
        <f aca="false">TRUE()</f>
        <v>1</v>
      </c>
      <c r="E17" s="16" t="b">
        <f aca="false">TRUE()</f>
        <v>1</v>
      </c>
      <c r="F17" s="16" t="b">
        <f aca="false">FALSE()</f>
        <v>0</v>
      </c>
      <c r="G17" s="17" t="s">
        <v>62</v>
      </c>
      <c r="H17" s="33"/>
      <c r="I17" s="18" t="s">
        <v>63</v>
      </c>
      <c r="J17" s="18"/>
      <c r="K17" s="19" t="s">
        <v>64</v>
      </c>
      <c r="L17" s="20" t="n">
        <v>2</v>
      </c>
      <c r="M17" s="20" t="s">
        <v>65</v>
      </c>
      <c r="N17" s="21"/>
      <c r="O17" s="23"/>
    </row>
    <row r="18" customFormat="false" ht="21" hidden="false" customHeight="true" outlineLevel="0" collapsed="false">
      <c r="A18" s="14" t="b">
        <f aca="false">TRUE()</f>
        <v>1</v>
      </c>
      <c r="B18" s="15" t="b">
        <f aca="false">FALSE()</f>
        <v>0</v>
      </c>
      <c r="C18" s="16" t="b">
        <f aca="false">FALSE()</f>
        <v>0</v>
      </c>
      <c r="D18" s="16" t="b">
        <f aca="false">TRUE()</f>
        <v>1</v>
      </c>
      <c r="E18" s="16" t="b">
        <f aca="false">FALSE()</f>
        <v>0</v>
      </c>
      <c r="F18" s="16" t="b">
        <f aca="false">TRUE()</f>
        <v>1</v>
      </c>
      <c r="G18" s="38" t="s">
        <v>66</v>
      </c>
      <c r="H18" s="39"/>
      <c r="I18" s="40" t="s">
        <v>67</v>
      </c>
      <c r="J18" s="40"/>
      <c r="K18" s="41" t="s">
        <v>68</v>
      </c>
      <c r="L18" s="42" t="n">
        <v>2</v>
      </c>
      <c r="M18" s="43"/>
      <c r="N18" s="44"/>
      <c r="O18" s="45"/>
    </row>
    <row r="19" customFormat="false" ht="21" hidden="false" customHeight="true" outlineLevel="0" collapsed="false">
      <c r="A19" s="14" t="b">
        <f aca="false">TRUE()</f>
        <v>1</v>
      </c>
      <c r="B19" s="15" t="b">
        <f aca="false">FALSE()</f>
        <v>0</v>
      </c>
      <c r="C19" s="16" t="b">
        <f aca="false">FALSE()</f>
        <v>0</v>
      </c>
      <c r="D19" s="16" t="b">
        <f aca="false">TRUE()</f>
        <v>1</v>
      </c>
      <c r="E19" s="16" t="b">
        <f aca="false">FALSE()</f>
        <v>0</v>
      </c>
      <c r="F19" s="16" t="b">
        <f aca="false">FALSE()</f>
        <v>0</v>
      </c>
      <c r="G19" s="24" t="s">
        <v>69</v>
      </c>
      <c r="H19" s="33"/>
      <c r="I19" s="46"/>
      <c r="J19" s="47" t="s">
        <v>70</v>
      </c>
      <c r="K19" s="19" t="s">
        <v>71</v>
      </c>
      <c r="L19" s="20" t="n">
        <v>2</v>
      </c>
      <c r="M19" s="20"/>
      <c r="N19" s="21"/>
      <c r="O19" s="25" t="s">
        <v>32</v>
      </c>
    </row>
    <row r="20" customFormat="false" ht="21" hidden="false" customHeight="true" outlineLevel="0" collapsed="false">
      <c r="A20" s="14" t="b">
        <f aca="false">TRUE()</f>
        <v>1</v>
      </c>
      <c r="B20" s="15" t="b">
        <f aca="false">FALSE()</f>
        <v>0</v>
      </c>
      <c r="C20" s="16" t="b">
        <f aca="false">FALSE()</f>
        <v>0</v>
      </c>
      <c r="D20" s="16" t="b">
        <f aca="false">TRUE()</f>
        <v>1</v>
      </c>
      <c r="E20" s="16" t="b">
        <f aca="false">FALSE()</f>
        <v>0</v>
      </c>
      <c r="F20" s="16" t="b">
        <f aca="false">FALSE()</f>
        <v>0</v>
      </c>
      <c r="G20" s="24" t="s">
        <v>72</v>
      </c>
      <c r="H20" s="33"/>
      <c r="I20" s="46"/>
      <c r="J20" s="47" t="s">
        <v>73</v>
      </c>
      <c r="K20" s="19" t="s">
        <v>74</v>
      </c>
      <c r="L20" s="20" t="n">
        <v>2</v>
      </c>
      <c r="M20" s="20"/>
      <c r="N20" s="21"/>
      <c r="O20" s="25" t="s">
        <v>32</v>
      </c>
    </row>
    <row r="21" customFormat="false" ht="21" hidden="false" customHeight="true" outlineLevel="0" collapsed="false">
      <c r="A21" s="14" t="b">
        <f aca="false">TRUE()</f>
        <v>1</v>
      </c>
      <c r="B21" s="15" t="b">
        <f aca="false">FALSE()</f>
        <v>0</v>
      </c>
      <c r="C21" s="16" t="b">
        <f aca="false">FALSE()</f>
        <v>0</v>
      </c>
      <c r="D21" s="16" t="b">
        <f aca="false">TRUE()</f>
        <v>1</v>
      </c>
      <c r="E21" s="16" t="b">
        <f aca="false">FALSE()</f>
        <v>0</v>
      </c>
      <c r="F21" s="16" t="b">
        <f aca="false">FALSE()</f>
        <v>0</v>
      </c>
      <c r="G21" s="24" t="s">
        <v>75</v>
      </c>
      <c r="H21" s="33"/>
      <c r="I21" s="46"/>
      <c r="J21" s="47" t="s">
        <v>76</v>
      </c>
      <c r="K21" s="19" t="s">
        <v>38</v>
      </c>
      <c r="L21" s="20" t="n">
        <v>2</v>
      </c>
      <c r="M21" s="20"/>
      <c r="N21" s="21"/>
      <c r="O21" s="25" t="s">
        <v>32</v>
      </c>
    </row>
    <row r="22" customFormat="false" ht="21" hidden="false" customHeight="true" outlineLevel="0" collapsed="false">
      <c r="A22" s="14" t="b">
        <f aca="false">TRUE()</f>
        <v>1</v>
      </c>
      <c r="B22" s="15" t="b">
        <f aca="false">FALSE()</f>
        <v>0</v>
      </c>
      <c r="C22" s="16" t="b">
        <f aca="false">FALSE()</f>
        <v>0</v>
      </c>
      <c r="D22" s="16" t="b">
        <f aca="false">TRUE()</f>
        <v>1</v>
      </c>
      <c r="E22" s="16" t="b">
        <f aca="false">FALSE()</f>
        <v>0</v>
      </c>
      <c r="F22" s="16" t="b">
        <f aca="false">TRUE()</f>
        <v>1</v>
      </c>
      <c r="G22" s="27" t="s">
        <v>77</v>
      </c>
      <c r="H22" s="28" t="s">
        <v>78</v>
      </c>
      <c r="I22" s="28"/>
      <c r="J22" s="28"/>
      <c r="K22" s="34" t="s">
        <v>79</v>
      </c>
      <c r="L22" s="35" t="n">
        <v>1</v>
      </c>
      <c r="M22" s="30"/>
      <c r="N22" s="36"/>
      <c r="O22" s="37"/>
    </row>
    <row r="23" customFormat="false" ht="21" hidden="false" customHeight="true" outlineLevel="0" collapsed="false">
      <c r="A23" s="14" t="b">
        <f aca="false">TRUE()</f>
        <v>1</v>
      </c>
      <c r="B23" s="15" t="b">
        <f aca="false">TRUE()</f>
        <v>1</v>
      </c>
      <c r="C23" s="16" t="b">
        <f aca="false">TRUE()</f>
        <v>1</v>
      </c>
      <c r="D23" s="16" t="b">
        <f aca="false">TRUE()</f>
        <v>1</v>
      </c>
      <c r="E23" s="16" t="b">
        <f aca="false">TRUE()</f>
        <v>1</v>
      </c>
      <c r="F23" s="16" t="b">
        <f aca="false">FALSE()</f>
        <v>0</v>
      </c>
      <c r="G23" s="17" t="s">
        <v>80</v>
      </c>
      <c r="H23" s="33"/>
      <c r="I23" s="18" t="s">
        <v>81</v>
      </c>
      <c r="J23" s="18"/>
      <c r="K23" s="19" t="s">
        <v>82</v>
      </c>
      <c r="L23" s="35"/>
      <c r="M23" s="20" t="s">
        <v>20</v>
      </c>
      <c r="N23" s="21" t="s">
        <v>21</v>
      </c>
      <c r="O23" s="23"/>
    </row>
    <row r="24" customFormat="false" ht="21" hidden="false" customHeight="true" outlineLevel="0" collapsed="false">
      <c r="A24" s="14" t="b">
        <f aca="false">TRUE()</f>
        <v>1</v>
      </c>
      <c r="B24" s="15" t="b">
        <f aca="false">FALSE()</f>
        <v>0</v>
      </c>
      <c r="C24" s="16" t="b">
        <f aca="false">FALSE()</f>
        <v>0</v>
      </c>
      <c r="D24" s="16" t="b">
        <f aca="false">TRUE()</f>
        <v>1</v>
      </c>
      <c r="E24" s="16" t="b">
        <f aca="false">FALSE()</f>
        <v>0</v>
      </c>
      <c r="F24" s="16" t="b">
        <f aca="false">TRUE()</f>
        <v>1</v>
      </c>
      <c r="G24" s="27" t="s">
        <v>83</v>
      </c>
      <c r="H24" s="28" t="s">
        <v>84</v>
      </c>
      <c r="I24" s="28"/>
      <c r="J24" s="28"/>
      <c r="K24" s="34" t="s">
        <v>85</v>
      </c>
      <c r="L24" s="35" t="n">
        <v>2</v>
      </c>
      <c r="M24" s="30"/>
      <c r="N24" s="36"/>
      <c r="O24" s="37"/>
    </row>
    <row r="25" customFormat="false" ht="21" hidden="false" customHeight="true" outlineLevel="0" collapsed="false">
      <c r="A25" s="14" t="b">
        <f aca="false">TRUE()</f>
        <v>1</v>
      </c>
      <c r="B25" s="15" t="b">
        <f aca="false">TRUE()</f>
        <v>1</v>
      </c>
      <c r="C25" s="16" t="b">
        <f aca="false">TRUE()</f>
        <v>1</v>
      </c>
      <c r="D25" s="16" t="b">
        <f aca="false">TRUE()</f>
        <v>1</v>
      </c>
      <c r="E25" s="16" t="b">
        <f aca="false">TRUE()</f>
        <v>1</v>
      </c>
      <c r="F25" s="16" t="b">
        <f aca="false">FALSE()</f>
        <v>0</v>
      </c>
      <c r="G25" s="17" t="s">
        <v>86</v>
      </c>
      <c r="H25" s="33"/>
      <c r="I25" s="18" t="s">
        <v>87</v>
      </c>
      <c r="J25" s="18"/>
      <c r="K25" s="19" t="s">
        <v>88</v>
      </c>
      <c r="L25" s="35"/>
      <c r="M25" s="20" t="s">
        <v>89</v>
      </c>
      <c r="N25" s="21" t="s">
        <v>21</v>
      </c>
      <c r="O25" s="23"/>
    </row>
    <row r="26" customFormat="false" ht="21" hidden="false" customHeight="true" outlineLevel="0" collapsed="false">
      <c r="A26" s="14" t="b">
        <f aca="false">TRUE()</f>
        <v>1</v>
      </c>
      <c r="B26" s="15" t="b">
        <f aca="false">FALSE()</f>
        <v>0</v>
      </c>
      <c r="C26" s="16" t="b">
        <f aca="false">FALSE()</f>
        <v>0</v>
      </c>
      <c r="D26" s="16" t="b">
        <f aca="false">TRUE()</f>
        <v>1</v>
      </c>
      <c r="E26" s="16" t="b">
        <f aca="false">FALSE()</f>
        <v>0</v>
      </c>
      <c r="F26" s="16" t="b">
        <f aca="false">TRUE()</f>
        <v>1</v>
      </c>
      <c r="G26" s="27" t="s">
        <v>90</v>
      </c>
      <c r="H26" s="28" t="s">
        <v>91</v>
      </c>
      <c r="I26" s="28"/>
      <c r="J26" s="28"/>
      <c r="K26" s="34" t="s">
        <v>85</v>
      </c>
      <c r="L26" s="35" t="n">
        <v>2</v>
      </c>
      <c r="M26" s="30"/>
      <c r="N26" s="36"/>
      <c r="O26" s="37"/>
    </row>
    <row r="27" customFormat="false" ht="21" hidden="false" customHeight="true" outlineLevel="0" collapsed="false">
      <c r="A27" s="14" t="b">
        <f aca="false">TRUE()</f>
        <v>1</v>
      </c>
      <c r="B27" s="15" t="b">
        <f aca="false">TRUE()</f>
        <v>1</v>
      </c>
      <c r="C27" s="16" t="b">
        <f aca="false">TRUE()</f>
        <v>1</v>
      </c>
      <c r="D27" s="16" t="b">
        <f aca="false">TRUE()</f>
        <v>1</v>
      </c>
      <c r="E27" s="16" t="b">
        <f aca="false">TRUE()</f>
        <v>1</v>
      </c>
      <c r="F27" s="16" t="b">
        <f aca="false">FALSE()</f>
        <v>0</v>
      </c>
      <c r="G27" s="17" t="s">
        <v>92</v>
      </c>
      <c r="H27" s="33"/>
      <c r="I27" s="18" t="s">
        <v>93</v>
      </c>
      <c r="J27" s="18"/>
      <c r="K27" s="19" t="s">
        <v>88</v>
      </c>
      <c r="L27" s="35"/>
      <c r="M27" s="20" t="s">
        <v>89</v>
      </c>
      <c r="N27" s="21" t="s">
        <v>21</v>
      </c>
      <c r="O27" s="23"/>
    </row>
    <row r="28" customFormat="false" ht="21" hidden="false" customHeight="true" outlineLevel="0" collapsed="false">
      <c r="A28" s="14" t="b">
        <f aca="false">TRUE()</f>
        <v>1</v>
      </c>
      <c r="B28" s="15" t="b">
        <f aca="false">FALSE()</f>
        <v>0</v>
      </c>
      <c r="C28" s="16" t="b">
        <f aca="false">FALSE()</f>
        <v>0</v>
      </c>
      <c r="D28" s="16" t="b">
        <f aca="false">TRUE()</f>
        <v>1</v>
      </c>
      <c r="E28" s="16" t="b">
        <f aca="false">FALSE()</f>
        <v>0</v>
      </c>
      <c r="F28" s="16" t="b">
        <f aca="false">TRUE()</f>
        <v>1</v>
      </c>
      <c r="G28" s="27" t="s">
        <v>94</v>
      </c>
      <c r="H28" s="28" t="s">
        <v>95</v>
      </c>
      <c r="I28" s="28"/>
      <c r="J28" s="28"/>
      <c r="K28" s="34" t="s">
        <v>96</v>
      </c>
      <c r="L28" s="35" t="n">
        <v>1</v>
      </c>
      <c r="M28" s="30"/>
      <c r="N28" s="36"/>
      <c r="O28" s="37"/>
    </row>
    <row r="29" customFormat="false" ht="21" hidden="false" customHeight="true" outlineLevel="0" collapsed="false">
      <c r="A29" s="14" t="b">
        <f aca="false">TRUE()</f>
        <v>1</v>
      </c>
      <c r="B29" s="15" t="b">
        <f aca="false">TRUE()</f>
        <v>1</v>
      </c>
      <c r="C29" s="16" t="b">
        <f aca="false">TRUE()</f>
        <v>1</v>
      </c>
      <c r="D29" s="16" t="b">
        <f aca="false">TRUE()</f>
        <v>1</v>
      </c>
      <c r="E29" s="16" t="b">
        <f aca="false">TRUE()</f>
        <v>1</v>
      </c>
      <c r="F29" s="16" t="b">
        <f aca="false">FALSE()</f>
        <v>0</v>
      </c>
      <c r="G29" s="17" t="s">
        <v>97</v>
      </c>
      <c r="H29" s="33"/>
      <c r="I29" s="18" t="s">
        <v>98</v>
      </c>
      <c r="J29" s="18"/>
      <c r="K29" s="19" t="s">
        <v>99</v>
      </c>
      <c r="L29" s="35"/>
      <c r="M29" s="20" t="s">
        <v>89</v>
      </c>
      <c r="N29" s="21" t="s">
        <v>21</v>
      </c>
      <c r="O29" s="23"/>
    </row>
    <row r="30" customFormat="false" ht="21" hidden="false" customHeight="true" outlineLevel="0" collapsed="false">
      <c r="A30" s="1"/>
      <c r="B30" s="1"/>
      <c r="C30" s="2"/>
      <c r="D30" s="3"/>
      <c r="E30" s="3"/>
      <c r="F30" s="3"/>
      <c r="G30" s="48"/>
      <c r="H30" s="49" t="s">
        <v>100</v>
      </c>
      <c r="I30" s="49"/>
      <c r="J30" s="49"/>
      <c r="K30" s="3"/>
      <c r="L30" s="50"/>
      <c r="M30" s="50"/>
      <c r="N30" s="3"/>
      <c r="O30" s="3"/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1">
    <mergeCell ref="J1:M1"/>
    <mergeCell ref="H2:J2"/>
    <mergeCell ref="H3:J3"/>
    <mergeCell ref="H4:J4"/>
    <mergeCell ref="H5:J5"/>
    <mergeCell ref="H6:J6"/>
    <mergeCell ref="H7:J7"/>
    <mergeCell ref="H8:J8"/>
    <mergeCell ref="I9:J9"/>
    <mergeCell ref="I10:J10"/>
    <mergeCell ref="H11:J11"/>
    <mergeCell ref="L11:L12"/>
    <mergeCell ref="I12:J12"/>
    <mergeCell ref="H13:J13"/>
    <mergeCell ref="I14:J14"/>
    <mergeCell ref="I15:J15"/>
    <mergeCell ref="I16:J16"/>
    <mergeCell ref="I17:J17"/>
    <mergeCell ref="I18:J18"/>
    <mergeCell ref="H22:J22"/>
    <mergeCell ref="L22:L23"/>
    <mergeCell ref="I23:J23"/>
    <mergeCell ref="H24:J24"/>
    <mergeCell ref="L24:L25"/>
    <mergeCell ref="I25:J25"/>
    <mergeCell ref="H26:J26"/>
    <mergeCell ref="L26:L27"/>
    <mergeCell ref="I27:J27"/>
    <mergeCell ref="H28:J28"/>
    <mergeCell ref="L28:L29"/>
    <mergeCell ref="I29:J29"/>
  </mergeCells>
  <conditionalFormatting sqref="A3:F29">
    <cfRule type="colorScale" priority="2">
      <colorScale>
        <cfvo type="min" val="0"/>
        <cfvo type="max" val="0"/>
        <color rgb="FF000000"/>
        <color rgb="FF000000"/>
      </colorScale>
    </cfRule>
    <cfRule type="colorScale" priority="3">
      <colorScale>
        <cfvo type="min" val="0"/>
        <cfvo type="max" val="0"/>
        <color rgb="FF000000"/>
        <color rgb="FF000000"/>
      </colorScale>
    </cfRule>
  </conditionalFormatting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.25"/>
    <col collapsed="false" customWidth="true" hidden="false" outlineLevel="0" max="3" min="3" style="0" width="63.13"/>
    <col collapsed="false" customWidth="true" hidden="false" outlineLevel="0" max="4" min="4" style="0" width="14.38"/>
    <col collapsed="false" customWidth="true" hidden="false" outlineLevel="0" max="5" min="5" style="0" width="7.25"/>
    <col collapsed="false" customWidth="true" hidden="false" outlineLevel="0" max="6" min="6" style="0" width="19.25"/>
    <col collapsed="false" customWidth="true" hidden="false" outlineLevel="0" max="7" min="7" style="0" width="25.25"/>
  </cols>
  <sheetData>
    <row r="1" customFormat="false" ht="15.75" hidden="false" customHeight="true" outlineLevel="0" collapsed="false">
      <c r="A1" s="51" t="s">
        <v>7</v>
      </c>
      <c r="B1" s="52" t="s">
        <v>9</v>
      </c>
      <c r="C1" s="52"/>
      <c r="D1" s="53" t="s">
        <v>101</v>
      </c>
      <c r="E1" s="52" t="s">
        <v>102</v>
      </c>
      <c r="F1" s="52" t="s">
        <v>103</v>
      </c>
      <c r="G1" s="54" t="s">
        <v>104</v>
      </c>
    </row>
    <row r="2" customFormat="false" ht="15.75" hidden="false" customHeight="true" outlineLevel="0" collapsed="false">
      <c r="A2" s="55" t="n">
        <v>1</v>
      </c>
      <c r="B2" s="56" t="s">
        <v>105</v>
      </c>
      <c r="C2" s="56" t="s">
        <v>106</v>
      </c>
      <c r="D2" s="55" t="n">
        <v>2</v>
      </c>
      <c r="E2" s="57" t="s">
        <v>102</v>
      </c>
      <c r="F2" s="58" t="n">
        <v>4047526113377</v>
      </c>
      <c r="G2" s="59" t="s">
        <v>107</v>
      </c>
    </row>
    <row r="3" customFormat="false" ht="15.75" hidden="false" customHeight="true" outlineLevel="0" collapsed="false">
      <c r="A3" s="60" t="n">
        <v>2</v>
      </c>
      <c r="B3" s="61" t="s">
        <v>108</v>
      </c>
      <c r="C3" s="61" t="s">
        <v>109</v>
      </c>
      <c r="D3" s="60" t="n">
        <v>4</v>
      </c>
      <c r="E3" s="62" t="s">
        <v>102</v>
      </c>
      <c r="F3" s="63" t="n">
        <v>4047526603175</v>
      </c>
      <c r="G3" s="59"/>
    </row>
    <row r="4" customFormat="false" ht="15.75" hidden="false" customHeight="true" outlineLevel="0" collapsed="false">
      <c r="A4" s="64" t="n">
        <v>3</v>
      </c>
      <c r="B4" s="65" t="s">
        <v>110</v>
      </c>
      <c r="C4" s="66" t="s">
        <v>111</v>
      </c>
      <c r="D4" s="64" t="n">
        <v>2</v>
      </c>
      <c r="E4" s="67" t="s">
        <v>102</v>
      </c>
      <c r="F4" s="68" t="n">
        <v>655472</v>
      </c>
      <c r="G4" s="65"/>
    </row>
    <row r="5" customFormat="false" ht="15.75" hidden="false" customHeight="true" outlineLevel="0" collapsed="false">
      <c r="A5" s="64" t="n">
        <v>4</v>
      </c>
      <c r="B5" s="65" t="s">
        <v>110</v>
      </c>
      <c r="C5" s="65" t="s">
        <v>112</v>
      </c>
      <c r="D5" s="64" t="n">
        <v>2</v>
      </c>
      <c r="E5" s="67" t="s">
        <v>102</v>
      </c>
      <c r="F5" s="68" t="n">
        <v>666412</v>
      </c>
      <c r="G5" s="65"/>
    </row>
    <row r="6" customFormat="false" ht="15.75" hidden="false" customHeight="true" outlineLevel="0" collapsed="false">
      <c r="A6" s="69" t="n">
        <v>5</v>
      </c>
      <c r="B6" s="70" t="s">
        <v>113</v>
      </c>
      <c r="C6" s="70" t="s">
        <v>114</v>
      </c>
      <c r="D6" s="69" t="n">
        <f aca="false">'Applicability of fasteners'!F23</f>
        <v>58</v>
      </c>
      <c r="E6" s="71" t="s">
        <v>102</v>
      </c>
      <c r="F6" s="72" t="s">
        <v>115</v>
      </c>
      <c r="G6" s="70"/>
    </row>
    <row r="7" customFormat="false" ht="15.75" hidden="false" customHeight="true" outlineLevel="0" collapsed="false">
      <c r="A7" s="69" t="n">
        <v>6</v>
      </c>
      <c r="B7" s="70" t="s">
        <v>116</v>
      </c>
      <c r="C7" s="70" t="s">
        <v>117</v>
      </c>
      <c r="D7" s="69" t="n">
        <f aca="false">'Applicability of fasteners'!G23</f>
        <v>48</v>
      </c>
      <c r="E7" s="71" t="s">
        <v>102</v>
      </c>
      <c r="F7" s="72" t="s">
        <v>118</v>
      </c>
      <c r="G7" s="70"/>
    </row>
    <row r="8" customFormat="false" ht="15.75" hidden="false" customHeight="true" outlineLevel="0" collapsed="false">
      <c r="A8" s="69" t="n">
        <v>7</v>
      </c>
      <c r="B8" s="70" t="s">
        <v>119</v>
      </c>
      <c r="C8" s="70" t="s">
        <v>120</v>
      </c>
      <c r="D8" s="69" t="n">
        <f aca="false">'Applicability of fasteners'!H23</f>
        <v>16</v>
      </c>
      <c r="E8" s="71" t="s">
        <v>102</v>
      </c>
      <c r="F8" s="72" t="s">
        <v>121</v>
      </c>
      <c r="G8" s="70"/>
    </row>
    <row r="9" customFormat="false" ht="15.75" hidden="false" customHeight="true" outlineLevel="0" collapsed="false">
      <c r="A9" s="69" t="n">
        <v>8</v>
      </c>
      <c r="B9" s="70" t="s">
        <v>122</v>
      </c>
      <c r="C9" s="70" t="s">
        <v>123</v>
      </c>
      <c r="D9" s="69" t="n">
        <f aca="false">'Applicability of fasteners'!I23</f>
        <v>8</v>
      </c>
      <c r="E9" s="71" t="s">
        <v>102</v>
      </c>
      <c r="F9" s="72" t="s">
        <v>124</v>
      </c>
      <c r="G9" s="70"/>
    </row>
    <row r="10" customFormat="false" ht="15.75" hidden="false" customHeight="true" outlineLevel="0" collapsed="false">
      <c r="A10" s="73" t="n">
        <v>9</v>
      </c>
      <c r="B10" s="74" t="s">
        <v>125</v>
      </c>
      <c r="C10" s="74" t="s">
        <v>126</v>
      </c>
      <c r="D10" s="75" t="n">
        <v>2</v>
      </c>
      <c r="E10" s="76" t="s">
        <v>102</v>
      </c>
      <c r="F10" s="77"/>
      <c r="G10" s="74"/>
    </row>
    <row r="11" customFormat="false" ht="15.75" hidden="false" customHeight="true" outlineLevel="0" collapsed="false">
      <c r="A11" s="73" t="n">
        <v>10</v>
      </c>
      <c r="B11" s="74" t="s">
        <v>125</v>
      </c>
      <c r="C11" s="74" t="s">
        <v>127</v>
      </c>
      <c r="D11" s="75" t="n">
        <v>2</v>
      </c>
      <c r="E11" s="76"/>
      <c r="F11" s="77"/>
      <c r="G11" s="74"/>
    </row>
    <row r="12" customFormat="false" ht="15.75" hidden="false" customHeight="true" outlineLevel="0" collapsed="false">
      <c r="A12" s="78" t="n">
        <v>11</v>
      </c>
      <c r="B12" s="79" t="s">
        <v>128</v>
      </c>
      <c r="C12" s="79" t="s">
        <v>129</v>
      </c>
      <c r="D12" s="78" t="n">
        <v>4</v>
      </c>
      <c r="E12" s="80" t="s">
        <v>102</v>
      </c>
      <c r="F12" s="81"/>
      <c r="G12" s="79"/>
    </row>
    <row r="13" customFormat="false" ht="15.75" hidden="false" customHeight="true" outlineLevel="0" collapsed="false">
      <c r="A13" s="78" t="n">
        <v>12</v>
      </c>
      <c r="B13" s="82" t="s">
        <v>130</v>
      </c>
      <c r="C13" s="83" t="s">
        <v>131</v>
      </c>
      <c r="D13" s="78" t="n">
        <v>2</v>
      </c>
      <c r="E13" s="79"/>
      <c r="F13" s="81"/>
      <c r="G13" s="79"/>
    </row>
    <row r="14" customFormat="false" ht="15.75" hidden="false" customHeight="true" outlineLevel="0" collapsed="false">
      <c r="A14" s="78" t="n">
        <v>13</v>
      </c>
      <c r="B14" s="79" t="s">
        <v>132</v>
      </c>
      <c r="C14" s="79" t="s">
        <v>133</v>
      </c>
      <c r="D14" s="78" t="n">
        <v>1</v>
      </c>
      <c r="E14" s="80" t="s">
        <v>102</v>
      </c>
      <c r="F14" s="81"/>
      <c r="G14" s="79"/>
    </row>
    <row r="15" customFormat="false" ht="15.75" hidden="false" customHeight="true" outlineLevel="0" collapsed="false">
      <c r="A15" s="78" t="n">
        <v>14</v>
      </c>
      <c r="B15" s="79" t="s">
        <v>134</v>
      </c>
      <c r="C15" s="79" t="s">
        <v>135</v>
      </c>
      <c r="D15" s="78" t="n">
        <v>1</v>
      </c>
      <c r="E15" s="79"/>
      <c r="F15" s="81"/>
      <c r="G15" s="79"/>
    </row>
    <row r="16" customFormat="false" ht="15.75" hidden="false" customHeight="true" outlineLevel="0" collapsed="false">
      <c r="A16" s="78" t="n">
        <v>14</v>
      </c>
      <c r="B16" s="79" t="s">
        <v>136</v>
      </c>
      <c r="C16" s="79" t="s">
        <v>137</v>
      </c>
      <c r="D16" s="78" t="n">
        <v>4</v>
      </c>
      <c r="E16" s="80" t="s">
        <v>102</v>
      </c>
      <c r="F16" s="81"/>
      <c r="G16" s="79"/>
    </row>
    <row r="17" customFormat="false" ht="15.75" hidden="false" customHeight="true" outlineLevel="0" collapsed="false">
      <c r="A17" s="78" t="n">
        <v>15</v>
      </c>
      <c r="B17" s="82" t="s">
        <v>138</v>
      </c>
      <c r="C17" s="79" t="s">
        <v>139</v>
      </c>
      <c r="D17" s="78" t="n">
        <v>1</v>
      </c>
      <c r="E17" s="79"/>
      <c r="F17" s="81"/>
      <c r="G17" s="79"/>
    </row>
    <row r="18" customFormat="false" ht="15.75" hidden="false" customHeight="true" outlineLevel="0" collapsed="false">
      <c r="A18" s="78" t="n">
        <v>16</v>
      </c>
      <c r="B18" s="79" t="s">
        <v>140</v>
      </c>
      <c r="C18" s="79" t="s">
        <v>141</v>
      </c>
      <c r="D18" s="78" t="n">
        <v>2</v>
      </c>
      <c r="E18" s="79"/>
      <c r="F18" s="81"/>
      <c r="G18" s="79"/>
    </row>
    <row r="19" customFormat="false" ht="15.75" hidden="false" customHeight="true" outlineLevel="0" collapsed="false">
      <c r="A19" s="78"/>
      <c r="B19" s="79"/>
      <c r="C19" s="79"/>
      <c r="D19" s="78"/>
      <c r="E19" s="79"/>
      <c r="F19" s="79"/>
      <c r="G19" s="79"/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B1:C1"/>
    <mergeCell ref="G2:G3"/>
    <mergeCell ref="E10:E11"/>
  </mergeCells>
  <hyperlinks>
    <hyperlink ref="E2" r:id="rId1" display="Link"/>
    <hyperlink ref="G2" r:id="rId2" display="Catalogue"/>
    <hyperlink ref="E3" r:id="rId3" display="Link"/>
    <hyperlink ref="E4" r:id="rId4" display="Link"/>
    <hyperlink ref="E5" r:id="rId5" display="Link"/>
    <hyperlink ref="E6" r:id="rId6" display="Link"/>
    <hyperlink ref="E7" r:id="rId7" display="Link"/>
    <hyperlink ref="E8" r:id="rId8" display="Link"/>
    <hyperlink ref="E9" r:id="rId9" display="Link"/>
    <hyperlink ref="E10" r:id="rId10" display="Link"/>
    <hyperlink ref="E12" r:id="rId11" display="Link"/>
    <hyperlink ref="E14" r:id="rId12" display="Link"/>
    <hyperlink ref="E16" r:id="rId13" display="Link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6.38"/>
    <col collapsed="false" customWidth="true" hidden="false" outlineLevel="0" max="2" min="2" style="0" width="23.75"/>
    <col collapsed="false" customWidth="true" hidden="false" outlineLevel="0" max="3" min="3" style="0" width="44.38"/>
    <col collapsed="false" customWidth="true" hidden="false" outlineLevel="0" max="4" min="4" style="0" width="6.51"/>
    <col collapsed="false" customWidth="true" hidden="false" outlineLevel="0" max="5" min="5" style="0" width="5.13"/>
    <col collapsed="false" customWidth="true" hidden="false" outlineLevel="0" max="7" min="6" style="0" width="10.75"/>
    <col collapsed="false" customWidth="true" hidden="false" outlineLevel="0" max="8" min="8" style="0" width="11.25"/>
    <col collapsed="false" customWidth="true" hidden="false" outlineLevel="0" max="9" min="9" style="0" width="10.75"/>
    <col collapsed="false" customWidth="true" hidden="false" outlineLevel="0" max="10" min="10" style="0" width="8.88"/>
    <col collapsed="false" customWidth="true" hidden="false" outlineLevel="0" max="12" min="11" style="0" width="8.5"/>
    <col collapsed="false" customWidth="true" hidden="false" outlineLevel="0" max="16" min="13" style="0" width="8.25"/>
    <col collapsed="false" customWidth="true" hidden="false" outlineLevel="0" max="17" min="17" style="0" width="7.88"/>
    <col collapsed="false" customWidth="true" hidden="false" outlineLevel="0" max="19" min="18" style="0" width="8.38"/>
    <col collapsed="false" customWidth="true" hidden="false" outlineLevel="0" max="20" min="20" style="0" width="8.25"/>
    <col collapsed="false" customWidth="true" hidden="false" outlineLevel="0" max="21" min="21" style="0" width="8"/>
    <col collapsed="false" customWidth="true" hidden="false" outlineLevel="0" max="22" min="22" style="0" width="8.13"/>
    <col collapsed="false" customWidth="true" hidden="false" outlineLevel="0" max="23" min="23" style="0" width="9.25"/>
    <col collapsed="false" customWidth="true" hidden="false" outlineLevel="0" max="24" min="24" style="0" width="8.63"/>
    <col collapsed="false" customWidth="true" hidden="false" outlineLevel="0" max="25" min="25" style="0" width="8.38"/>
    <col collapsed="false" customWidth="true" hidden="false" outlineLevel="0" max="26" min="26" style="0" width="9"/>
    <col collapsed="false" customWidth="true" hidden="false" outlineLevel="0" max="27" min="27" style="0" width="8.5"/>
    <col collapsed="false" customWidth="true" hidden="false" outlineLevel="0" max="28" min="28" style="0" width="8.75"/>
    <col collapsed="false" customWidth="true" hidden="false" outlineLevel="0" max="37" min="29" style="0" width="9.88"/>
    <col collapsed="false" customWidth="true" hidden="false" outlineLevel="0" max="39" min="38" style="0" width="11"/>
    <col collapsed="false" customWidth="true" hidden="false" outlineLevel="0" max="41" min="40" style="0" width="10.38"/>
    <col collapsed="false" customWidth="true" hidden="false" outlineLevel="0" max="42" min="42" style="0" width="10.88"/>
    <col collapsed="false" customWidth="true" hidden="false" outlineLevel="0" max="44" min="43" style="0" width="11"/>
    <col collapsed="false" customWidth="true" hidden="false" outlineLevel="0" max="45" min="45" style="0" width="9.88"/>
    <col collapsed="false" customWidth="true" hidden="false" outlineLevel="0" max="46" min="46" style="0" width="14.63"/>
    <col collapsed="false" customWidth="true" hidden="false" outlineLevel="0" max="48" min="47" style="0" width="15.75"/>
  </cols>
  <sheetData>
    <row r="1" customFormat="false" ht="15.75" hidden="false" customHeight="true" outlineLevel="0" collapsed="false">
      <c r="A1" s="84" t="s">
        <v>142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</row>
    <row r="2" customFormat="false" ht="15.75" hidden="false" customHeight="true" outlineLevel="0" collapsed="false">
      <c r="A2" s="85"/>
      <c r="B2" s="86"/>
      <c r="C2" s="86"/>
      <c r="D2" s="50"/>
      <c r="E2" s="50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</row>
    <row r="3" customFormat="false" ht="15.75" hidden="false" customHeight="true" outlineLevel="0" collapsed="false">
      <c r="A3" s="88" t="s">
        <v>7</v>
      </c>
      <c r="B3" s="89" t="s">
        <v>8</v>
      </c>
      <c r="C3" s="90" t="s">
        <v>9</v>
      </c>
      <c r="D3" s="91" t="s">
        <v>143</v>
      </c>
      <c r="E3" s="92" t="s">
        <v>144</v>
      </c>
      <c r="F3" s="93" t="s">
        <v>114</v>
      </c>
      <c r="G3" s="93" t="s">
        <v>117</v>
      </c>
      <c r="H3" s="93" t="s">
        <v>120</v>
      </c>
      <c r="I3" s="93" t="s">
        <v>123</v>
      </c>
      <c r="J3" s="93" t="s">
        <v>145</v>
      </c>
      <c r="K3" s="93" t="s">
        <v>146</v>
      </c>
      <c r="L3" s="93" t="s">
        <v>147</v>
      </c>
      <c r="M3" s="93" t="s">
        <v>148</v>
      </c>
      <c r="N3" s="93" t="s">
        <v>149</v>
      </c>
      <c r="O3" s="93" t="s">
        <v>150</v>
      </c>
      <c r="P3" s="93" t="s">
        <v>151</v>
      </c>
      <c r="Q3" s="93" t="s">
        <v>152</v>
      </c>
      <c r="R3" s="93" t="s">
        <v>153</v>
      </c>
      <c r="S3" s="93" t="s">
        <v>154</v>
      </c>
      <c r="T3" s="93" t="s">
        <v>155</v>
      </c>
      <c r="U3" s="93" t="s">
        <v>156</v>
      </c>
      <c r="V3" s="93" t="s">
        <v>157</v>
      </c>
      <c r="W3" s="93" t="s">
        <v>158</v>
      </c>
      <c r="X3" s="93" t="s">
        <v>159</v>
      </c>
      <c r="Y3" s="93" t="s">
        <v>160</v>
      </c>
      <c r="Z3" s="93" t="s">
        <v>161</v>
      </c>
      <c r="AA3" s="93" t="s">
        <v>162</v>
      </c>
      <c r="AB3" s="93" t="s">
        <v>163</v>
      </c>
      <c r="AC3" s="93" t="s">
        <v>164</v>
      </c>
      <c r="AD3" s="93" t="s">
        <v>165</v>
      </c>
      <c r="AE3" s="93" t="s">
        <v>166</v>
      </c>
      <c r="AF3" s="93" t="s">
        <v>167</v>
      </c>
      <c r="AG3" s="93" t="s">
        <v>168</v>
      </c>
      <c r="AH3" s="93" t="s">
        <v>169</v>
      </c>
      <c r="AI3" s="93" t="s">
        <v>170</v>
      </c>
      <c r="AJ3" s="93" t="s">
        <v>171</v>
      </c>
      <c r="AK3" s="93" t="s">
        <v>172</v>
      </c>
      <c r="AL3" s="93" t="s">
        <v>173</v>
      </c>
      <c r="AM3" s="93" t="s">
        <v>174</v>
      </c>
      <c r="AN3" s="93" t="s">
        <v>175</v>
      </c>
      <c r="AO3" s="93" t="s">
        <v>176</v>
      </c>
      <c r="AP3" s="93" t="s">
        <v>177</v>
      </c>
      <c r="AQ3" s="93" t="s">
        <v>178</v>
      </c>
      <c r="AR3" s="93" t="s">
        <v>179</v>
      </c>
      <c r="AS3" s="93" t="s">
        <v>180</v>
      </c>
      <c r="AT3" s="93" t="s">
        <v>181</v>
      </c>
      <c r="AU3" s="93" t="s">
        <v>126</v>
      </c>
      <c r="AV3" s="93" t="s">
        <v>127</v>
      </c>
    </row>
    <row r="4" customFormat="false" ht="15.75" hidden="false" customHeight="true" outlineLevel="0" collapsed="false">
      <c r="A4" s="94" t="s">
        <v>36</v>
      </c>
      <c r="B4" s="95" t="s">
        <v>182</v>
      </c>
      <c r="C4" s="47" t="s">
        <v>183</v>
      </c>
      <c r="D4" s="96"/>
      <c r="E4" s="96"/>
      <c r="F4" s="97"/>
      <c r="G4" s="97"/>
      <c r="H4" s="97"/>
      <c r="I4" s="98"/>
      <c r="J4" s="98"/>
      <c r="K4" s="98"/>
      <c r="L4" s="98"/>
      <c r="M4" s="98"/>
      <c r="N4" s="98"/>
      <c r="O4" s="98"/>
      <c r="P4" s="98"/>
      <c r="Q4" s="98" t="n">
        <v>4</v>
      </c>
      <c r="R4" s="98" t="n">
        <v>4</v>
      </c>
      <c r="S4" s="98"/>
      <c r="T4" s="98"/>
      <c r="U4" s="98"/>
      <c r="V4" s="98"/>
      <c r="W4" s="98" t="n">
        <v>4</v>
      </c>
      <c r="X4" s="98"/>
      <c r="Y4" s="98"/>
      <c r="Z4" s="98"/>
      <c r="AA4" s="98" t="n">
        <v>4</v>
      </c>
      <c r="AB4" s="98"/>
      <c r="AC4" s="98"/>
      <c r="AD4" s="98" t="n">
        <v>4</v>
      </c>
      <c r="AE4" s="98"/>
      <c r="AF4" s="98" t="n">
        <v>16</v>
      </c>
      <c r="AG4" s="98"/>
      <c r="AH4" s="98"/>
      <c r="AI4" s="98"/>
      <c r="AJ4" s="98"/>
      <c r="AK4" s="98"/>
      <c r="AL4" s="98" t="n">
        <v>4</v>
      </c>
      <c r="AM4" s="98"/>
      <c r="AN4" s="98"/>
      <c r="AO4" s="98"/>
      <c r="AP4" s="98"/>
      <c r="AQ4" s="98"/>
      <c r="AR4" s="98"/>
      <c r="AS4" s="98"/>
      <c r="AT4" s="98" t="n">
        <v>4</v>
      </c>
      <c r="AU4" s="98"/>
      <c r="AV4" s="99"/>
    </row>
    <row r="5" customFormat="false" ht="15.75" hidden="false" customHeight="true" outlineLevel="0" collapsed="false">
      <c r="A5" s="94" t="s">
        <v>39</v>
      </c>
      <c r="B5" s="95"/>
      <c r="C5" s="47" t="s">
        <v>184</v>
      </c>
      <c r="D5" s="96"/>
      <c r="E5" s="96"/>
      <c r="F5" s="97"/>
      <c r="G5" s="97"/>
      <c r="H5" s="97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 t="n">
        <v>4</v>
      </c>
      <c r="V5" s="98"/>
      <c r="W5" s="98"/>
      <c r="X5" s="98"/>
      <c r="Y5" s="98"/>
      <c r="Z5" s="98"/>
      <c r="AA5" s="98"/>
      <c r="AB5" s="98"/>
      <c r="AC5" s="98"/>
      <c r="AD5" s="98"/>
      <c r="AE5" s="98"/>
      <c r="AF5" s="98"/>
      <c r="AG5" s="98"/>
      <c r="AH5" s="98"/>
      <c r="AI5" s="98"/>
      <c r="AJ5" s="98" t="n">
        <v>4</v>
      </c>
      <c r="AK5" s="98"/>
      <c r="AL5" s="98"/>
      <c r="AM5" s="98"/>
      <c r="AN5" s="98"/>
      <c r="AO5" s="98"/>
      <c r="AP5" s="98"/>
      <c r="AQ5" s="98"/>
      <c r="AR5" s="98"/>
      <c r="AS5" s="98"/>
      <c r="AT5" s="98"/>
      <c r="AU5" s="98"/>
      <c r="AV5" s="99"/>
    </row>
    <row r="6" customFormat="false" ht="15.75" hidden="false" customHeight="true" outlineLevel="0" collapsed="false">
      <c r="A6" s="94" t="s">
        <v>185</v>
      </c>
      <c r="B6" s="95"/>
      <c r="C6" s="47" t="s">
        <v>186</v>
      </c>
      <c r="D6" s="96"/>
      <c r="E6" s="96"/>
      <c r="F6" s="97"/>
      <c r="G6" s="97"/>
      <c r="H6" s="97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 t="n">
        <v>4</v>
      </c>
      <c r="Y6" s="98"/>
      <c r="Z6" s="98"/>
      <c r="AA6" s="98"/>
      <c r="AB6" s="98"/>
      <c r="AC6" s="98"/>
      <c r="AD6" s="98"/>
      <c r="AE6" s="98" t="n">
        <v>4</v>
      </c>
      <c r="AF6" s="98"/>
      <c r="AG6" s="98"/>
      <c r="AH6" s="98"/>
      <c r="AI6" s="98"/>
      <c r="AJ6" s="98"/>
      <c r="AK6" s="98"/>
      <c r="AL6" s="98"/>
      <c r="AM6" s="98" t="n">
        <v>4</v>
      </c>
      <c r="AN6" s="98"/>
      <c r="AO6" s="98"/>
      <c r="AP6" s="98"/>
      <c r="AQ6" s="98"/>
      <c r="AR6" s="98"/>
      <c r="AS6" s="98"/>
      <c r="AT6" s="98"/>
      <c r="AU6" s="98"/>
      <c r="AV6" s="99"/>
    </row>
    <row r="7" customFormat="false" ht="15.75" hidden="false" customHeight="true" outlineLevel="0" collapsed="false">
      <c r="A7" s="94" t="s">
        <v>187</v>
      </c>
      <c r="B7" s="95"/>
      <c r="C7" s="47" t="s">
        <v>188</v>
      </c>
      <c r="D7" s="96"/>
      <c r="E7" s="96"/>
      <c r="F7" s="97"/>
      <c r="G7" s="97"/>
      <c r="H7" s="97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 t="n">
        <v>4</v>
      </c>
      <c r="AA7" s="98"/>
      <c r="AB7" s="98"/>
      <c r="AC7" s="98"/>
      <c r="AD7" s="98"/>
      <c r="AE7" s="98"/>
      <c r="AF7" s="98"/>
      <c r="AG7" s="98" t="n">
        <v>4</v>
      </c>
      <c r="AH7" s="98"/>
      <c r="AI7" s="98"/>
      <c r="AJ7" s="98"/>
      <c r="AK7" s="98"/>
      <c r="AL7" s="98"/>
      <c r="AM7" s="98"/>
      <c r="AN7" s="98"/>
      <c r="AO7" s="98" t="n">
        <v>4</v>
      </c>
      <c r="AP7" s="98"/>
      <c r="AQ7" s="98"/>
      <c r="AR7" s="98"/>
      <c r="AS7" s="98"/>
      <c r="AT7" s="98"/>
      <c r="AU7" s="98"/>
      <c r="AV7" s="99"/>
    </row>
    <row r="8" customFormat="false" ht="15.75" hidden="false" customHeight="true" outlineLevel="0" collapsed="false">
      <c r="A8" s="94" t="s">
        <v>189</v>
      </c>
      <c r="B8" s="95"/>
      <c r="C8" s="47" t="s">
        <v>190</v>
      </c>
      <c r="D8" s="96"/>
      <c r="E8" s="96"/>
      <c r="F8" s="97"/>
      <c r="G8" s="97"/>
      <c r="H8" s="97"/>
      <c r="I8" s="98"/>
      <c r="J8" s="98"/>
      <c r="K8" s="98"/>
      <c r="L8" s="98" t="n">
        <v>16</v>
      </c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 t="n">
        <v>16</v>
      </c>
      <c r="AI8" s="98"/>
      <c r="AJ8" s="98"/>
      <c r="AK8" s="98"/>
      <c r="AL8" s="98"/>
      <c r="AM8" s="98"/>
      <c r="AN8" s="98"/>
      <c r="AO8" s="98"/>
      <c r="AP8" s="98" t="n">
        <v>16</v>
      </c>
      <c r="AQ8" s="98"/>
      <c r="AR8" s="98"/>
      <c r="AS8" s="98"/>
      <c r="AT8" s="98"/>
      <c r="AU8" s="98"/>
      <c r="AV8" s="99"/>
    </row>
    <row r="9" customFormat="false" ht="15.75" hidden="false" customHeight="true" outlineLevel="0" collapsed="false">
      <c r="A9" s="94" t="s">
        <v>191</v>
      </c>
      <c r="B9" s="95"/>
      <c r="C9" s="47" t="s">
        <v>192</v>
      </c>
      <c r="D9" s="96"/>
      <c r="E9" s="96"/>
      <c r="F9" s="97"/>
      <c r="G9" s="97"/>
      <c r="H9" s="97"/>
      <c r="I9" s="98"/>
      <c r="J9" s="98"/>
      <c r="K9" s="98"/>
      <c r="L9" s="98"/>
      <c r="M9" s="98"/>
      <c r="N9" s="98"/>
      <c r="O9" s="98"/>
      <c r="P9" s="98"/>
      <c r="Q9" s="98"/>
      <c r="R9" s="98"/>
      <c r="S9" s="98" t="n">
        <v>32</v>
      </c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9"/>
    </row>
    <row r="10" customFormat="false" ht="15.75" hidden="false" customHeight="true" outlineLevel="0" collapsed="false">
      <c r="A10" s="94" t="s">
        <v>193</v>
      </c>
      <c r="B10" s="95"/>
      <c r="C10" s="47" t="s">
        <v>194</v>
      </c>
      <c r="D10" s="96"/>
      <c r="E10" s="96"/>
      <c r="F10" s="97"/>
      <c r="G10" s="97"/>
      <c r="H10" s="97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 t="n">
        <v>4</v>
      </c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9"/>
    </row>
    <row r="11" customFormat="false" ht="15.75" hidden="false" customHeight="true" outlineLevel="0" collapsed="false">
      <c r="A11" s="94" t="s">
        <v>195</v>
      </c>
      <c r="B11" s="95"/>
      <c r="C11" s="47" t="s">
        <v>196</v>
      </c>
      <c r="D11" s="96"/>
      <c r="E11" s="96"/>
      <c r="F11" s="97"/>
      <c r="G11" s="97"/>
      <c r="H11" s="97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 t="n">
        <v>10</v>
      </c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9"/>
    </row>
    <row r="12" customFormat="false" ht="15.75" hidden="false" customHeight="true" outlineLevel="0" collapsed="false">
      <c r="A12" s="94" t="s">
        <v>197</v>
      </c>
      <c r="B12" s="95"/>
      <c r="C12" s="47" t="s">
        <v>198</v>
      </c>
      <c r="D12" s="96"/>
      <c r="E12" s="96"/>
      <c r="F12" s="97"/>
      <c r="G12" s="97"/>
      <c r="H12" s="97"/>
      <c r="I12" s="98"/>
      <c r="J12" s="98"/>
      <c r="K12" s="98" t="n">
        <v>8</v>
      </c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 t="n">
        <v>8</v>
      </c>
      <c r="AP12" s="98"/>
      <c r="AQ12" s="98"/>
      <c r="AR12" s="98"/>
      <c r="AS12" s="98" t="n">
        <v>8</v>
      </c>
      <c r="AT12" s="98"/>
      <c r="AU12" s="98"/>
      <c r="AV12" s="99"/>
    </row>
    <row r="13" customFormat="false" ht="15.75" hidden="false" customHeight="true" outlineLevel="0" collapsed="false">
      <c r="A13" s="94" t="s">
        <v>199</v>
      </c>
      <c r="B13" s="95"/>
      <c r="C13" s="47" t="s">
        <v>200</v>
      </c>
      <c r="D13" s="96"/>
      <c r="E13" s="96"/>
      <c r="F13" s="97"/>
      <c r="G13" s="97"/>
      <c r="H13" s="97"/>
      <c r="I13" s="98"/>
      <c r="J13" s="98"/>
      <c r="K13" s="98"/>
      <c r="L13" s="98"/>
      <c r="M13" s="98"/>
      <c r="N13" s="98" t="n">
        <v>16</v>
      </c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 t="n">
        <v>16</v>
      </c>
      <c r="AJ13" s="98"/>
      <c r="AK13" s="98"/>
      <c r="AL13" s="98"/>
      <c r="AM13" s="98"/>
      <c r="AN13" s="98"/>
      <c r="AO13" s="98"/>
      <c r="AP13" s="98"/>
      <c r="AQ13" s="98" t="n">
        <v>16</v>
      </c>
      <c r="AR13" s="98"/>
      <c r="AS13" s="98"/>
      <c r="AT13" s="98"/>
      <c r="AU13" s="98"/>
      <c r="AV13" s="99"/>
    </row>
    <row r="14" customFormat="false" ht="15.75" hidden="false" customHeight="true" outlineLevel="0" collapsed="false">
      <c r="A14" s="94" t="s">
        <v>201</v>
      </c>
      <c r="B14" s="95"/>
      <c r="C14" s="47" t="s">
        <v>202</v>
      </c>
      <c r="D14" s="96"/>
      <c r="E14" s="96"/>
      <c r="F14" s="97"/>
      <c r="G14" s="97"/>
      <c r="H14" s="97"/>
      <c r="I14" s="98"/>
      <c r="J14" s="98"/>
      <c r="K14" s="98"/>
      <c r="L14" s="98" t="n">
        <v>16</v>
      </c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 t="n">
        <v>16</v>
      </c>
      <c r="AI14" s="98"/>
      <c r="AJ14" s="98"/>
      <c r="AK14" s="98"/>
      <c r="AL14" s="98"/>
      <c r="AM14" s="98"/>
      <c r="AN14" s="98"/>
      <c r="AO14" s="98"/>
      <c r="AP14" s="98" t="n">
        <v>16</v>
      </c>
      <c r="AQ14" s="98"/>
      <c r="AR14" s="98"/>
      <c r="AS14" s="98"/>
      <c r="AT14" s="98"/>
      <c r="AU14" s="98"/>
      <c r="AV14" s="99"/>
    </row>
    <row r="15" customFormat="false" ht="15.75" hidden="false" customHeight="true" outlineLevel="0" collapsed="false">
      <c r="A15" s="94" t="s">
        <v>42</v>
      </c>
      <c r="B15" s="47" t="s">
        <v>34</v>
      </c>
      <c r="C15" s="100" t="s">
        <v>35</v>
      </c>
      <c r="D15" s="20" t="n">
        <v>1</v>
      </c>
      <c r="E15" s="20"/>
      <c r="F15" s="101"/>
      <c r="G15" s="101"/>
      <c r="H15" s="97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 t="n">
        <v>10</v>
      </c>
      <c r="Z15" s="98"/>
      <c r="AA15" s="98"/>
      <c r="AB15" s="98" t="n">
        <v>10</v>
      </c>
      <c r="AC15" s="98"/>
      <c r="AD15" s="98"/>
      <c r="AE15" s="98"/>
      <c r="AF15" s="98" t="n">
        <v>20</v>
      </c>
      <c r="AG15" s="98"/>
      <c r="AH15" s="98"/>
      <c r="AI15" s="98"/>
      <c r="AJ15" s="98"/>
      <c r="AK15" s="98"/>
      <c r="AL15" s="98"/>
      <c r="AM15" s="98"/>
      <c r="AN15" s="98" t="n">
        <v>10</v>
      </c>
      <c r="AO15" s="98"/>
      <c r="AP15" s="98"/>
      <c r="AQ15" s="98"/>
      <c r="AR15" s="98"/>
      <c r="AS15" s="98"/>
      <c r="AT15" s="98"/>
      <c r="AU15" s="98"/>
      <c r="AV15" s="99"/>
    </row>
    <row r="16" customFormat="false" ht="15.75" hidden="false" customHeight="true" outlineLevel="0" collapsed="false">
      <c r="A16" s="94" t="s">
        <v>48</v>
      </c>
      <c r="B16" s="47" t="s">
        <v>43</v>
      </c>
      <c r="C16" s="100" t="s">
        <v>44</v>
      </c>
      <c r="D16" s="20" t="n">
        <v>1</v>
      </c>
      <c r="E16" s="20"/>
      <c r="F16" s="101" t="n">
        <v>26</v>
      </c>
      <c r="G16" s="101"/>
      <c r="H16" s="102" t="n">
        <v>16</v>
      </c>
      <c r="I16" s="103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9"/>
    </row>
    <row r="17" customFormat="false" ht="15.75" hidden="false" customHeight="true" outlineLevel="0" collapsed="false">
      <c r="A17" s="94" t="s">
        <v>77</v>
      </c>
      <c r="B17" s="47" t="s">
        <v>49</v>
      </c>
      <c r="C17" s="100" t="s">
        <v>50</v>
      </c>
      <c r="D17" s="20" t="n">
        <v>2</v>
      </c>
      <c r="E17" s="20"/>
      <c r="F17" s="101" t="n">
        <v>8</v>
      </c>
      <c r="G17" s="101" t="n">
        <v>40</v>
      </c>
      <c r="H17" s="102"/>
      <c r="I17" s="103"/>
      <c r="J17" s="98"/>
      <c r="K17" s="98"/>
      <c r="L17" s="98" t="n">
        <v>8</v>
      </c>
      <c r="M17" s="98" t="n">
        <v>8</v>
      </c>
      <c r="N17" s="98"/>
      <c r="O17" s="98" t="n">
        <v>8</v>
      </c>
      <c r="P17" s="98" t="n">
        <v>4</v>
      </c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 t="n">
        <v>4</v>
      </c>
      <c r="AC17" s="98" t="n">
        <v>8</v>
      </c>
      <c r="AD17" s="98"/>
      <c r="AE17" s="98"/>
      <c r="AF17" s="98"/>
      <c r="AG17" s="98"/>
      <c r="AH17" s="98" t="n">
        <v>16</v>
      </c>
      <c r="AI17" s="98"/>
      <c r="AJ17" s="98"/>
      <c r="AK17" s="98" t="n">
        <v>12</v>
      </c>
      <c r="AL17" s="98"/>
      <c r="AM17" s="98"/>
      <c r="AN17" s="98"/>
      <c r="AO17" s="98"/>
      <c r="AP17" s="98"/>
      <c r="AQ17" s="98"/>
      <c r="AR17" s="98" t="n">
        <v>8</v>
      </c>
      <c r="AS17" s="98"/>
      <c r="AT17" s="98"/>
      <c r="AU17" s="98" t="n">
        <v>2</v>
      </c>
      <c r="AV17" s="99" t="n">
        <v>2</v>
      </c>
    </row>
    <row r="18" customFormat="false" ht="15.75" hidden="false" customHeight="true" outlineLevel="0" collapsed="false">
      <c r="A18" s="94" t="s">
        <v>80</v>
      </c>
      <c r="B18" s="47" t="s">
        <v>67</v>
      </c>
      <c r="C18" s="100" t="s">
        <v>68</v>
      </c>
      <c r="D18" s="20" t="n">
        <v>2</v>
      </c>
      <c r="E18" s="20"/>
      <c r="F18" s="101"/>
      <c r="G18" s="101"/>
      <c r="H18" s="102"/>
      <c r="I18" s="103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 t="n">
        <v>8</v>
      </c>
      <c r="W18" s="98"/>
      <c r="X18" s="98"/>
      <c r="Y18" s="98"/>
      <c r="Z18" s="98"/>
      <c r="AA18" s="98" t="n">
        <v>8</v>
      </c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9"/>
    </row>
    <row r="19" customFormat="false" ht="15.75" hidden="false" customHeight="true" outlineLevel="0" collapsed="false">
      <c r="A19" s="94" t="s">
        <v>90</v>
      </c>
      <c r="B19" s="47" t="s">
        <v>78</v>
      </c>
      <c r="C19" s="100" t="s">
        <v>79</v>
      </c>
      <c r="D19" s="20" t="n">
        <v>1</v>
      </c>
      <c r="E19" s="20"/>
      <c r="F19" s="101"/>
      <c r="G19" s="101" t="n">
        <v>8</v>
      </c>
      <c r="H19" s="102"/>
      <c r="I19" s="103" t="n">
        <v>8</v>
      </c>
      <c r="J19" s="98" t="n">
        <v>16</v>
      </c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9"/>
    </row>
    <row r="20" customFormat="false" ht="15.75" hidden="false" customHeight="true" outlineLevel="0" collapsed="false">
      <c r="A20" s="104" t="s">
        <v>94</v>
      </c>
      <c r="B20" s="105" t="s">
        <v>84</v>
      </c>
      <c r="C20" s="100" t="s">
        <v>85</v>
      </c>
      <c r="D20" s="20" t="n">
        <v>2</v>
      </c>
      <c r="E20" s="20"/>
      <c r="F20" s="101" t="n">
        <v>10</v>
      </c>
      <c r="G20" s="101"/>
      <c r="H20" s="102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6"/>
    </row>
    <row r="21" customFormat="false" ht="15.75" hidden="false" customHeight="true" outlineLevel="0" collapsed="false">
      <c r="A21" s="104" t="s">
        <v>203</v>
      </c>
      <c r="B21" s="105" t="s">
        <v>91</v>
      </c>
      <c r="C21" s="100" t="s">
        <v>85</v>
      </c>
      <c r="D21" s="20" t="n">
        <v>2</v>
      </c>
      <c r="E21" s="20"/>
      <c r="F21" s="101" t="n">
        <v>10</v>
      </c>
      <c r="G21" s="101"/>
      <c r="H21" s="102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6"/>
    </row>
    <row r="22" customFormat="false" ht="15.75" hidden="false" customHeight="true" outlineLevel="0" collapsed="false">
      <c r="A22" s="104" t="s">
        <v>204</v>
      </c>
      <c r="B22" s="105" t="s">
        <v>95</v>
      </c>
      <c r="C22" s="107" t="s">
        <v>96</v>
      </c>
      <c r="D22" s="101" t="n">
        <v>1</v>
      </c>
      <c r="E22" s="101"/>
      <c r="F22" s="101" t="n">
        <v>4</v>
      </c>
      <c r="G22" s="101"/>
      <c r="H22" s="102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6"/>
    </row>
    <row r="23" customFormat="false" ht="15.75" hidden="false" customHeight="true" outlineLevel="0" collapsed="false">
      <c r="A23" s="108"/>
      <c r="B23" s="109"/>
      <c r="C23" s="110" t="s">
        <v>205</v>
      </c>
      <c r="D23" s="111"/>
      <c r="E23" s="111"/>
      <c r="F23" s="112" t="n">
        <f aca="false">SUM(F4:F22)</f>
        <v>58</v>
      </c>
      <c r="G23" s="112" t="n">
        <f aca="false">SUM(G4:G22)</f>
        <v>48</v>
      </c>
      <c r="H23" s="112" t="n">
        <f aca="false">SUM(H4:H22)</f>
        <v>16</v>
      </c>
      <c r="I23" s="113" t="n">
        <f aca="false">SUM(I4:I22)</f>
        <v>8</v>
      </c>
      <c r="J23" s="113" t="n">
        <f aca="false">SUM(J4:J22)</f>
        <v>16</v>
      </c>
      <c r="K23" s="113" t="n">
        <f aca="false">SUM(K4:K22)</f>
        <v>8</v>
      </c>
      <c r="L23" s="113" t="n">
        <f aca="false">SUM(L4:L22)</f>
        <v>40</v>
      </c>
      <c r="M23" s="113" t="n">
        <f aca="false">SUM(M4:M22)</f>
        <v>8</v>
      </c>
      <c r="N23" s="113" t="n">
        <f aca="false">SUM(N4:N22)</f>
        <v>16</v>
      </c>
      <c r="O23" s="113" t="n">
        <f aca="false">SUM(O4:O22)</f>
        <v>8</v>
      </c>
      <c r="P23" s="113" t="n">
        <f aca="false">SUM(P4:P22)</f>
        <v>4</v>
      </c>
      <c r="Q23" s="113" t="n">
        <f aca="false">SUM(Q4:Q22)</f>
        <v>4</v>
      </c>
      <c r="R23" s="113" t="n">
        <f aca="false">SUM(R4:R22)</f>
        <v>4</v>
      </c>
      <c r="S23" s="113" t="n">
        <f aca="false">SUM(S4:S22)</f>
        <v>36</v>
      </c>
      <c r="T23" s="113" t="n">
        <f aca="false">SUM(T4:T22)</f>
        <v>10</v>
      </c>
      <c r="U23" s="113" t="n">
        <f aca="false">SUM(U4:U22)</f>
        <v>4</v>
      </c>
      <c r="V23" s="113" t="n">
        <f aca="false">SUM(V4:V22)</f>
        <v>8</v>
      </c>
      <c r="W23" s="113" t="n">
        <f aca="false">SUM(W4:W22)</f>
        <v>4</v>
      </c>
      <c r="X23" s="113" t="n">
        <f aca="false">SUM(X4:X22)</f>
        <v>4</v>
      </c>
      <c r="Y23" s="113" t="n">
        <f aca="false">SUM(Y4:Y22)</f>
        <v>10</v>
      </c>
      <c r="Z23" s="113" t="n">
        <f aca="false">SUM(Z4:Z22)</f>
        <v>4</v>
      </c>
      <c r="AA23" s="113" t="n">
        <f aca="false">SUM(AA4:AA22)</f>
        <v>12</v>
      </c>
      <c r="AB23" s="113" t="n">
        <f aca="false">SUM(AB4:AB22)</f>
        <v>14</v>
      </c>
      <c r="AC23" s="113" t="n">
        <f aca="false">SUM(AC4:AC22)</f>
        <v>8</v>
      </c>
      <c r="AD23" s="113" t="n">
        <f aca="false">SUM(AD4:AD22)</f>
        <v>4</v>
      </c>
      <c r="AE23" s="113" t="n">
        <f aca="false">SUM(AE4:AE22)</f>
        <v>4</v>
      </c>
      <c r="AF23" s="113" t="n">
        <f aca="false">SUM(AF4:AF22)</f>
        <v>36</v>
      </c>
      <c r="AG23" s="113" t="n">
        <f aca="false">SUM(AG4:AG22)</f>
        <v>4</v>
      </c>
      <c r="AH23" s="113" t="n">
        <f aca="false">SUM(AH4:AH22)</f>
        <v>48</v>
      </c>
      <c r="AI23" s="113" t="n">
        <f aca="false">SUM(AI4:AI22)</f>
        <v>16</v>
      </c>
      <c r="AJ23" s="113" t="n">
        <f aca="false">SUM(AJ4:AJ22)</f>
        <v>4</v>
      </c>
      <c r="AK23" s="113" t="n">
        <f aca="false">SUM(AK4:AK22)</f>
        <v>12</v>
      </c>
      <c r="AL23" s="113" t="n">
        <f aca="false">SUM(AL4:AL22)</f>
        <v>4</v>
      </c>
      <c r="AM23" s="113" t="n">
        <f aca="false">SUM(AM4:AM22)</f>
        <v>4</v>
      </c>
      <c r="AN23" s="113" t="n">
        <f aca="false">SUM(AN4:AN22)</f>
        <v>10</v>
      </c>
      <c r="AO23" s="113" t="n">
        <f aca="false">SUM(AO4:AO22)</f>
        <v>12</v>
      </c>
      <c r="AP23" s="113" t="n">
        <f aca="false">SUM(AP4:AP22)</f>
        <v>32</v>
      </c>
      <c r="AQ23" s="113" t="n">
        <f aca="false">SUM(AQ4:AQ22)</f>
        <v>16</v>
      </c>
      <c r="AR23" s="113" t="n">
        <f aca="false">SUM(AR4:AR22)</f>
        <v>8</v>
      </c>
      <c r="AS23" s="113" t="n">
        <f aca="false">SUM(AS4:AS22)</f>
        <v>8</v>
      </c>
      <c r="AT23" s="113" t="n">
        <f aca="false">SUM(AT4:AT22)</f>
        <v>4</v>
      </c>
      <c r="AU23" s="113" t="n">
        <f aca="false">SUM(AU4:AU22)</f>
        <v>2</v>
      </c>
      <c r="AV23" s="114" t="n">
        <f aca="false">SUM(AV4:AV22)</f>
        <v>2</v>
      </c>
    </row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1:AV1"/>
    <mergeCell ref="B4:B1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.25"/>
    <col collapsed="false" customWidth="true" hidden="false" outlineLevel="0" max="3" min="3" style="0" width="9"/>
  </cols>
  <sheetData>
    <row r="1" customFormat="false" ht="15.75" hidden="false" customHeight="true" outlineLevel="0" collapsed="false">
      <c r="A1" s="115" t="s">
        <v>7</v>
      </c>
      <c r="B1" s="116" t="s">
        <v>9</v>
      </c>
      <c r="C1" s="117" t="s">
        <v>143</v>
      </c>
    </row>
    <row r="2" customFormat="false" ht="15.75" hidden="false" customHeight="true" outlineLevel="0" collapsed="false">
      <c r="A2" s="118" t="n">
        <v>1</v>
      </c>
      <c r="B2" s="119" t="s">
        <v>146</v>
      </c>
      <c r="C2" s="120" t="n">
        <f aca="false">'Applicability of fasteners'!K23</f>
        <v>8</v>
      </c>
    </row>
    <row r="3" customFormat="false" ht="15.75" hidden="false" customHeight="true" outlineLevel="0" collapsed="false">
      <c r="A3" s="118" t="n">
        <v>2</v>
      </c>
      <c r="B3" s="119" t="s">
        <v>147</v>
      </c>
      <c r="C3" s="120" t="n">
        <f aca="false">'Applicability of fasteners'!L23</f>
        <v>40</v>
      </c>
    </row>
    <row r="4" customFormat="false" ht="15.75" hidden="false" customHeight="true" outlineLevel="0" collapsed="false">
      <c r="A4" s="118" t="n">
        <v>3</v>
      </c>
      <c r="B4" s="119" t="s">
        <v>148</v>
      </c>
      <c r="C4" s="120" t="n">
        <f aca="false">'Applicability of fasteners'!M23</f>
        <v>8</v>
      </c>
    </row>
    <row r="5" customFormat="false" ht="15.75" hidden="false" customHeight="true" outlineLevel="0" collapsed="false">
      <c r="A5" s="118" t="n">
        <v>4</v>
      </c>
      <c r="B5" s="119" t="s">
        <v>149</v>
      </c>
      <c r="C5" s="120" t="n">
        <f aca="false">'Applicability of fasteners'!N23</f>
        <v>16</v>
      </c>
    </row>
    <row r="6" customFormat="false" ht="15.75" hidden="false" customHeight="true" outlineLevel="0" collapsed="false">
      <c r="A6" s="118" t="n">
        <v>5</v>
      </c>
      <c r="B6" s="119" t="s">
        <v>150</v>
      </c>
      <c r="C6" s="120" t="n">
        <f aca="false">'Applicability of fasteners'!O23</f>
        <v>8</v>
      </c>
    </row>
    <row r="7" customFormat="false" ht="15.75" hidden="false" customHeight="true" outlineLevel="0" collapsed="false">
      <c r="A7" s="118" t="n">
        <v>6</v>
      </c>
      <c r="B7" s="119" t="s">
        <v>151</v>
      </c>
      <c r="C7" s="120" t="n">
        <f aca="false">'Applicability of fasteners'!P23</f>
        <v>4</v>
      </c>
    </row>
    <row r="8" customFormat="false" ht="15.75" hidden="false" customHeight="true" outlineLevel="0" collapsed="false">
      <c r="A8" s="118" t="n">
        <v>7</v>
      </c>
      <c r="B8" s="119" t="s">
        <v>152</v>
      </c>
      <c r="C8" s="120" t="n">
        <f aca="false">'Applicability of fasteners'!Q23</f>
        <v>4</v>
      </c>
    </row>
    <row r="9" customFormat="false" ht="15.75" hidden="false" customHeight="true" outlineLevel="0" collapsed="false">
      <c r="A9" s="118" t="n">
        <v>8</v>
      </c>
      <c r="B9" s="119" t="s">
        <v>153</v>
      </c>
      <c r="C9" s="120" t="n">
        <f aca="false">'Applicability of fasteners'!R23</f>
        <v>4</v>
      </c>
    </row>
    <row r="10" customFormat="false" ht="15.75" hidden="false" customHeight="true" outlineLevel="0" collapsed="false">
      <c r="A10" s="118" t="n">
        <v>9</v>
      </c>
      <c r="B10" s="119" t="s">
        <v>154</v>
      </c>
      <c r="C10" s="120" t="n">
        <f aca="false">'Applicability of fasteners'!S23</f>
        <v>36</v>
      </c>
    </row>
    <row r="11" customFormat="false" ht="15.75" hidden="false" customHeight="true" outlineLevel="0" collapsed="false">
      <c r="A11" s="118" t="n">
        <v>10</v>
      </c>
      <c r="B11" s="119" t="s">
        <v>155</v>
      </c>
      <c r="C11" s="120" t="n">
        <f aca="false">'Applicability of fasteners'!T23</f>
        <v>10</v>
      </c>
    </row>
    <row r="12" customFormat="false" ht="15.75" hidden="false" customHeight="true" outlineLevel="0" collapsed="false">
      <c r="A12" s="118" t="n">
        <v>11</v>
      </c>
      <c r="B12" s="119" t="s">
        <v>156</v>
      </c>
      <c r="C12" s="120" t="n">
        <f aca="false">'Applicability of fasteners'!U23</f>
        <v>4</v>
      </c>
    </row>
    <row r="13" customFormat="false" ht="15.75" hidden="false" customHeight="true" outlineLevel="0" collapsed="false">
      <c r="A13" s="118" t="n">
        <v>12</v>
      </c>
      <c r="B13" s="119" t="s">
        <v>157</v>
      </c>
      <c r="C13" s="120" t="n">
        <f aca="false">'Applicability of fasteners'!V23</f>
        <v>8</v>
      </c>
    </row>
    <row r="14" customFormat="false" ht="15.75" hidden="false" customHeight="true" outlineLevel="0" collapsed="false">
      <c r="A14" s="118" t="n">
        <v>13</v>
      </c>
      <c r="B14" s="119" t="s">
        <v>158</v>
      </c>
      <c r="C14" s="120" t="n">
        <f aca="false">'Applicability of fasteners'!W23</f>
        <v>4</v>
      </c>
    </row>
    <row r="15" customFormat="false" ht="15.75" hidden="false" customHeight="true" outlineLevel="0" collapsed="false">
      <c r="A15" s="118" t="n">
        <v>14</v>
      </c>
      <c r="B15" s="119" t="s">
        <v>159</v>
      </c>
      <c r="C15" s="120" t="n">
        <f aca="false">'Applicability of fasteners'!X23</f>
        <v>4</v>
      </c>
    </row>
    <row r="16" customFormat="false" ht="15.75" hidden="false" customHeight="true" outlineLevel="0" collapsed="false">
      <c r="A16" s="118" t="n">
        <v>15</v>
      </c>
      <c r="B16" s="119" t="s">
        <v>160</v>
      </c>
      <c r="C16" s="120" t="n">
        <f aca="false">'Applicability of fasteners'!Y23</f>
        <v>10</v>
      </c>
    </row>
    <row r="17" customFormat="false" ht="15.75" hidden="false" customHeight="true" outlineLevel="0" collapsed="false">
      <c r="A17" s="118" t="n">
        <v>16</v>
      </c>
      <c r="B17" s="119" t="s">
        <v>161</v>
      </c>
      <c r="C17" s="120" t="n">
        <f aca="false">'Applicability of fasteners'!Z23</f>
        <v>4</v>
      </c>
    </row>
    <row r="18" customFormat="false" ht="15.75" hidden="false" customHeight="true" outlineLevel="0" collapsed="false">
      <c r="A18" s="118" t="n">
        <v>17</v>
      </c>
      <c r="B18" s="119" t="s">
        <v>162</v>
      </c>
      <c r="C18" s="120" t="n">
        <f aca="false">'Applicability of fasteners'!AA23</f>
        <v>12</v>
      </c>
    </row>
    <row r="19" customFormat="false" ht="15.75" hidden="false" customHeight="true" outlineLevel="0" collapsed="false">
      <c r="A19" s="118" t="n">
        <v>18</v>
      </c>
      <c r="B19" s="119" t="s">
        <v>163</v>
      </c>
      <c r="C19" s="120" t="n">
        <f aca="false">'Applicability of fasteners'!AB23</f>
        <v>14</v>
      </c>
    </row>
    <row r="20" customFormat="false" ht="15.75" hidden="false" customHeight="true" outlineLevel="0" collapsed="false">
      <c r="A20" s="118" t="n">
        <v>19</v>
      </c>
      <c r="B20" s="119" t="s">
        <v>164</v>
      </c>
      <c r="C20" s="120" t="n">
        <f aca="false">'Applicability of fasteners'!AC23</f>
        <v>8</v>
      </c>
    </row>
    <row r="21" customFormat="false" ht="15.75" hidden="false" customHeight="true" outlineLevel="0" collapsed="false">
      <c r="A21" s="118" t="n">
        <v>20</v>
      </c>
      <c r="B21" s="121" t="s">
        <v>114</v>
      </c>
      <c r="C21" s="122" t="n">
        <f aca="false">'Applicability of fasteners'!F23</f>
        <v>58</v>
      </c>
    </row>
    <row r="22" customFormat="false" ht="15.75" hidden="false" customHeight="true" outlineLevel="0" collapsed="false">
      <c r="A22" s="118" t="n">
        <v>21</v>
      </c>
      <c r="B22" s="121" t="s">
        <v>117</v>
      </c>
      <c r="C22" s="120" t="n">
        <f aca="false">'Applicability of fasteners'!G23</f>
        <v>48</v>
      </c>
    </row>
    <row r="23" customFormat="false" ht="15.75" hidden="false" customHeight="true" outlineLevel="0" collapsed="false">
      <c r="A23" s="118" t="n">
        <v>22</v>
      </c>
      <c r="B23" s="121" t="s">
        <v>120</v>
      </c>
      <c r="C23" s="120" t="n">
        <f aca="false">'Applicability of fasteners'!H23</f>
        <v>16</v>
      </c>
    </row>
    <row r="24" customFormat="false" ht="15.75" hidden="false" customHeight="true" outlineLevel="0" collapsed="false">
      <c r="A24" s="118" t="n">
        <v>23</v>
      </c>
      <c r="B24" s="121" t="s">
        <v>123</v>
      </c>
      <c r="C24" s="120" t="n">
        <f aca="false">'Applicability of fasteners'!I23</f>
        <v>8</v>
      </c>
    </row>
    <row r="25" customFormat="false" ht="15.75" hidden="false" customHeight="true" outlineLevel="0" collapsed="false">
      <c r="A25" s="118" t="n">
        <v>24</v>
      </c>
      <c r="B25" s="119" t="s">
        <v>145</v>
      </c>
      <c r="C25" s="120" t="n">
        <f aca="false">'Applicability of fasteners'!J23</f>
        <v>16</v>
      </c>
    </row>
    <row r="26" customFormat="false" ht="15.75" hidden="false" customHeight="true" outlineLevel="0" collapsed="false">
      <c r="A26" s="118" t="n">
        <v>25</v>
      </c>
      <c r="B26" s="119" t="s">
        <v>165</v>
      </c>
      <c r="C26" s="120" t="n">
        <f aca="false">'Applicability of fasteners'!AD23</f>
        <v>4</v>
      </c>
    </row>
    <row r="27" customFormat="false" ht="15.75" hidden="false" customHeight="true" outlineLevel="0" collapsed="false">
      <c r="A27" s="118" t="n">
        <v>26</v>
      </c>
      <c r="B27" s="119" t="s">
        <v>166</v>
      </c>
      <c r="C27" s="120" t="n">
        <f aca="false">'Applicability of fasteners'!AE23</f>
        <v>4</v>
      </c>
    </row>
    <row r="28" customFormat="false" ht="15.75" hidden="false" customHeight="true" outlineLevel="0" collapsed="false">
      <c r="A28" s="118" t="n">
        <v>27</v>
      </c>
      <c r="B28" s="119" t="s">
        <v>167</v>
      </c>
      <c r="C28" s="120" t="n">
        <f aca="false">'Applicability of fasteners'!AF23</f>
        <v>36</v>
      </c>
    </row>
    <row r="29" customFormat="false" ht="15.75" hidden="false" customHeight="true" outlineLevel="0" collapsed="false">
      <c r="A29" s="118" t="n">
        <v>28</v>
      </c>
      <c r="B29" s="119" t="s">
        <v>168</v>
      </c>
      <c r="C29" s="120" t="n">
        <f aca="false">'Applicability of fasteners'!AG23</f>
        <v>4</v>
      </c>
    </row>
    <row r="30" customFormat="false" ht="15.75" hidden="false" customHeight="true" outlineLevel="0" collapsed="false">
      <c r="A30" s="118" t="n">
        <v>29</v>
      </c>
      <c r="B30" s="119" t="s">
        <v>169</v>
      </c>
      <c r="C30" s="120" t="n">
        <f aca="false">'Applicability of fasteners'!AH23</f>
        <v>48</v>
      </c>
    </row>
    <row r="31" customFormat="false" ht="15.75" hidden="false" customHeight="true" outlineLevel="0" collapsed="false">
      <c r="A31" s="118" t="n">
        <v>30</v>
      </c>
      <c r="B31" s="119" t="s">
        <v>170</v>
      </c>
      <c r="C31" s="120" t="n">
        <f aca="false">'Applicability of fasteners'!AI23</f>
        <v>16</v>
      </c>
    </row>
    <row r="32" customFormat="false" ht="15.75" hidden="false" customHeight="true" outlineLevel="0" collapsed="false">
      <c r="A32" s="118" t="n">
        <v>31</v>
      </c>
      <c r="B32" s="119" t="s">
        <v>171</v>
      </c>
      <c r="C32" s="120" t="n">
        <f aca="false">'Applicability of fasteners'!AJ23</f>
        <v>4</v>
      </c>
    </row>
    <row r="33" customFormat="false" ht="15.75" hidden="false" customHeight="true" outlineLevel="0" collapsed="false">
      <c r="A33" s="118" t="n">
        <v>32</v>
      </c>
      <c r="B33" s="119" t="s">
        <v>172</v>
      </c>
      <c r="C33" s="120" t="n">
        <f aca="false">'Applicability of fasteners'!AK23</f>
        <v>12</v>
      </c>
    </row>
    <row r="34" customFormat="false" ht="15.75" hidden="false" customHeight="true" outlineLevel="0" collapsed="false">
      <c r="A34" s="118" t="n">
        <v>33</v>
      </c>
      <c r="B34" s="119" t="s">
        <v>173</v>
      </c>
      <c r="C34" s="120" t="n">
        <f aca="false">'Applicability of fasteners'!AL23</f>
        <v>4</v>
      </c>
    </row>
    <row r="35" customFormat="false" ht="15.75" hidden="false" customHeight="true" outlineLevel="0" collapsed="false">
      <c r="A35" s="118" t="n">
        <v>34</v>
      </c>
      <c r="B35" s="119" t="s">
        <v>174</v>
      </c>
      <c r="C35" s="120" t="n">
        <f aca="false">'Applicability of fasteners'!AM23</f>
        <v>4</v>
      </c>
    </row>
    <row r="36" customFormat="false" ht="15.75" hidden="false" customHeight="true" outlineLevel="0" collapsed="false">
      <c r="A36" s="118" t="n">
        <v>35</v>
      </c>
      <c r="B36" s="119" t="s">
        <v>175</v>
      </c>
      <c r="C36" s="120" t="n">
        <f aca="false">'Applicability of fasteners'!AN23</f>
        <v>10</v>
      </c>
    </row>
    <row r="37" customFormat="false" ht="15.75" hidden="false" customHeight="true" outlineLevel="0" collapsed="false">
      <c r="A37" s="118" t="n">
        <v>36</v>
      </c>
      <c r="B37" s="119" t="s">
        <v>176</v>
      </c>
      <c r="C37" s="120" t="n">
        <f aca="false">'Applicability of fasteners'!AO23</f>
        <v>12</v>
      </c>
    </row>
    <row r="38" customFormat="false" ht="15.75" hidden="false" customHeight="true" outlineLevel="0" collapsed="false">
      <c r="A38" s="118" t="n">
        <v>37</v>
      </c>
      <c r="B38" s="119" t="s">
        <v>177</v>
      </c>
      <c r="C38" s="120" t="n">
        <f aca="false">'Applicability of fasteners'!AP23</f>
        <v>32</v>
      </c>
    </row>
    <row r="39" customFormat="false" ht="15.75" hidden="false" customHeight="true" outlineLevel="0" collapsed="false">
      <c r="A39" s="118" t="n">
        <v>38</v>
      </c>
      <c r="B39" s="119" t="s">
        <v>178</v>
      </c>
      <c r="C39" s="120" t="n">
        <f aca="false">'Applicability of fasteners'!AQ23</f>
        <v>16</v>
      </c>
    </row>
    <row r="40" customFormat="false" ht="15.75" hidden="false" customHeight="true" outlineLevel="0" collapsed="false">
      <c r="A40" s="118" t="n">
        <v>39</v>
      </c>
      <c r="B40" s="119" t="s">
        <v>179</v>
      </c>
      <c r="C40" s="120" t="n">
        <f aca="false">'Applicability of fasteners'!AR23</f>
        <v>8</v>
      </c>
    </row>
    <row r="41" customFormat="false" ht="15.75" hidden="false" customHeight="true" outlineLevel="0" collapsed="false">
      <c r="A41" s="118" t="n">
        <v>40</v>
      </c>
      <c r="B41" s="119" t="s">
        <v>180</v>
      </c>
      <c r="C41" s="120" t="n">
        <f aca="false">'Applicability of fasteners'!AS23</f>
        <v>8</v>
      </c>
    </row>
    <row r="42" customFormat="false" ht="15.75" hidden="false" customHeight="true" outlineLevel="0" collapsed="false">
      <c r="A42" s="118" t="n">
        <v>41</v>
      </c>
      <c r="B42" s="121" t="s">
        <v>126</v>
      </c>
      <c r="C42" s="120" t="n">
        <f aca="false">'Applicability of fasteners'!AU23</f>
        <v>2</v>
      </c>
    </row>
    <row r="43" customFormat="false" ht="15.75" hidden="false" customHeight="true" outlineLevel="0" collapsed="false">
      <c r="A43" s="118" t="n">
        <v>42</v>
      </c>
      <c r="B43" s="121" t="s">
        <v>127</v>
      </c>
      <c r="C43" s="120" t="n">
        <f aca="false">'Applicability of fasteners'!AV23</f>
        <v>2</v>
      </c>
    </row>
    <row r="44" customFormat="false" ht="15.75" hidden="false" customHeight="true" outlineLevel="0" collapsed="false">
      <c r="A44" s="123"/>
      <c r="B44" s="124"/>
      <c r="C44" s="125"/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.13"/>
    <col collapsed="false" customWidth="true" hidden="false" outlineLevel="0" max="2" min="2" style="0" width="108.25"/>
  </cols>
  <sheetData>
    <row r="1" customFormat="false" ht="15.75" hidden="false" customHeight="true" outlineLevel="0" collapsed="false">
      <c r="A1" s="126" t="s">
        <v>7</v>
      </c>
      <c r="B1" s="127" t="s">
        <v>9</v>
      </c>
    </row>
    <row r="2" customFormat="false" ht="15.75" hidden="false" customHeight="true" outlineLevel="0" collapsed="false">
      <c r="A2" s="128" t="n">
        <v>1</v>
      </c>
      <c r="B2" s="129" t="s">
        <v>206</v>
      </c>
    </row>
    <row r="3" customFormat="false" ht="15.75" hidden="false" customHeight="true" outlineLevel="0" collapsed="false">
      <c r="A3" s="130" t="n">
        <v>2</v>
      </c>
      <c r="B3" s="131" t="s">
        <v>207</v>
      </c>
    </row>
    <row r="4" customFormat="false" ht="15.75" hidden="false" customHeight="true" outlineLevel="0" collapsed="false">
      <c r="A4" s="130" t="n">
        <v>3</v>
      </c>
      <c r="B4" s="131" t="s">
        <v>208</v>
      </c>
    </row>
    <row r="5" customFormat="false" ht="15.75" hidden="false" customHeight="true" outlineLevel="0" collapsed="false">
      <c r="A5" s="130" t="n">
        <v>4</v>
      </c>
      <c r="B5" s="131" t="s">
        <v>209</v>
      </c>
    </row>
    <row r="6" customFormat="false" ht="15.75" hidden="false" customHeight="true" outlineLevel="0" collapsed="false">
      <c r="A6" s="130" t="n">
        <v>5</v>
      </c>
      <c r="B6" s="131" t="s">
        <v>210</v>
      </c>
    </row>
    <row r="7" customFormat="false" ht="15.75" hidden="false" customHeight="true" outlineLevel="0" collapsed="false">
      <c r="A7" s="130"/>
      <c r="B7" s="131"/>
    </row>
    <row r="8" customFormat="false" ht="15.75" hidden="false" customHeight="true" outlineLevel="0" collapsed="false">
      <c r="A8" s="130"/>
      <c r="B8" s="131"/>
    </row>
    <row r="9" customFormat="false" ht="15.75" hidden="false" customHeight="true" outlineLevel="0" collapsed="false">
      <c r="A9" s="130"/>
      <c r="B9" s="131"/>
    </row>
    <row r="10" customFormat="false" ht="15.75" hidden="false" customHeight="true" outlineLevel="0" collapsed="false">
      <c r="A10" s="130"/>
      <c r="B10" s="131"/>
    </row>
    <row r="11" customFormat="false" ht="15.75" hidden="false" customHeight="true" outlineLevel="0" collapsed="false">
      <c r="A11" s="130"/>
      <c r="B11" s="131"/>
    </row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2025-06-14T19:19:59Z</dcterms:modified>
  <cp:revision>1</cp:revision>
  <dc:subject/>
  <dc:title/>
</cp:coreProperties>
</file>